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P_Backup\LCP Software Source code + Database + document  Delivery\LCP  Documentation\LCP Reporting System STP &amp; STR\"/>
    </mc:Choice>
  </mc:AlternateContent>
  <xr:revisionPtr revIDLastSave="0" documentId="13_ncr:1_{AFED42B6-D1ED-49BF-99E8-F24B5F42F6BD}" xr6:coauthVersionLast="47" xr6:coauthVersionMax="47" xr10:uidLastSave="{00000000-0000-0000-0000-000000000000}"/>
  <bookViews>
    <workbookView xWindow="-120" yWindow="-120" windowWidth="24240" windowHeight="13020" firstSheet="1" activeTab="10" xr2:uid="{00000000-000D-0000-FFFF-FFFF00000000}"/>
  </bookViews>
  <sheets>
    <sheet name="Summery" sheetId="18" r:id="rId1"/>
    <sheet name="Login" sheetId="1" r:id="rId2"/>
    <sheet name="DG" sheetId="4" r:id="rId3"/>
    <sheet name="UPS" sheetId="3" r:id="rId4"/>
    <sheet name="Switch" sheetId="15" r:id="rId5"/>
    <sheet name="Radio" sheetId="16" r:id="rId6"/>
    <sheet name="  Configuration Test Case" sheetId="7" state="hidden" r:id="rId7"/>
    <sheet name="DashBoard" sheetId="8" r:id="rId8"/>
    <sheet name="Tabular Report" sheetId="9" r:id="rId9"/>
    <sheet name="LineGraph" sheetId="10" r:id="rId10"/>
    <sheet name="Archive Management" sheetId="11" r:id="rId11"/>
    <sheet name="User Management" sheetId="12" r:id="rId12"/>
    <sheet name="Sub-SystemStatus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1" i="18" l="1"/>
  <c r="C26" i="18"/>
  <c r="C23" i="18"/>
  <c r="C20" i="18"/>
  <c r="D23" i="18"/>
  <c r="C28" i="18"/>
  <c r="C24" i="18"/>
  <c r="D26" i="18"/>
  <c r="D28" i="18"/>
  <c r="C21" i="18"/>
  <c r="C19" i="18"/>
  <c r="D24" i="18"/>
  <c r="C22" i="18"/>
  <c r="D25" i="18"/>
  <c r="D19" i="18"/>
  <c r="C27" i="18"/>
  <c r="D22" i="18"/>
  <c r="D27" i="18"/>
  <c r="D29" i="18"/>
  <c r="C29" i="18"/>
  <c r="D20" i="18"/>
  <c r="C25" i="18"/>
  <c r="E25" i="18" l="1"/>
  <c r="F25" i="18" s="1"/>
  <c r="E29" i="18"/>
  <c r="F29" i="18" s="1"/>
  <c r="E27" i="18"/>
  <c r="F27" i="18" s="1"/>
  <c r="D35" i="18"/>
  <c r="E22" i="18"/>
  <c r="F22" i="18" s="1"/>
  <c r="C35" i="18"/>
  <c r="E19" i="18"/>
  <c r="E21" i="18"/>
  <c r="F21" i="18" s="1"/>
  <c r="E24" i="18"/>
  <c r="F24" i="18" s="1"/>
  <c r="E28" i="18"/>
  <c r="F28" i="18" s="1"/>
  <c r="E20" i="18"/>
  <c r="F20" i="18" s="1"/>
  <c r="E23" i="18"/>
  <c r="F23" i="18" s="1"/>
  <c r="E26" i="18"/>
  <c r="F26" i="18" s="1"/>
  <c r="E35" i="18" l="1"/>
  <c r="F19" i="18"/>
</calcChain>
</file>

<file path=xl/sharedStrings.xml><?xml version="1.0" encoding="utf-8"?>
<sst xmlns="http://schemas.openxmlformats.org/spreadsheetml/2006/main" count="1984" uniqueCount="584">
  <si>
    <t>Test Case ID</t>
  </si>
  <si>
    <t>Sub-System</t>
  </si>
  <si>
    <t xml:space="preserve">Test Description </t>
  </si>
  <si>
    <t>Tester Name</t>
  </si>
  <si>
    <t>Execution Date</t>
  </si>
  <si>
    <t>Preconditions</t>
  </si>
  <si>
    <t>Dependencies</t>
  </si>
  <si>
    <t>Test Steps</t>
  </si>
  <si>
    <t>Test Data</t>
  </si>
  <si>
    <t>Expected Result</t>
  </si>
  <si>
    <t>Actual Result</t>
  </si>
  <si>
    <t>Status (Pass/Fail)</t>
  </si>
  <si>
    <t>Comments/Notes</t>
  </si>
  <si>
    <t>Login_01</t>
  </si>
  <si>
    <t>Login</t>
  </si>
  <si>
    <t>Verify that the 'User Name' input field is present.</t>
  </si>
  <si>
    <t>None</t>
  </si>
  <si>
    <t>The layout should be aligned, text readable, and elements properly spaced.</t>
  </si>
  <si>
    <t>NA</t>
  </si>
  <si>
    <t>Pass</t>
  </si>
  <si>
    <t xml:space="preserve">	Test executed successfully without any issues.</t>
  </si>
  <si>
    <t>Login_02</t>
  </si>
  <si>
    <t>Verify that the 'User Password' input field is present.</t>
  </si>
  <si>
    <t>The heading should be clearly visible.</t>
  </si>
  <si>
    <t>Login_03</t>
  </si>
  <si>
    <t>Verify that the password field masks the entered characters.</t>
  </si>
  <si>
    <t>Login page must be accessible from the application.</t>
  </si>
  <si>
    <t>Both sections should be properly displayed.</t>
  </si>
  <si>
    <t>Login_04</t>
  </si>
  <si>
    <t>Verify that both fields accept input.</t>
  </si>
  <si>
    <t>User must not have exceeded the maximum login attempts.</t>
  </si>
  <si>
    <t>Clicking on 'Exit' should close the application.</t>
  </si>
  <si>
    <t>Login_05</t>
  </si>
  <si>
    <t>Verify that an error message is displayed when either field is empty.</t>
  </si>
  <si>
    <t>User must enter the credentials.</t>
  </si>
  <si>
    <t>The logo should be visible and properly aligned.</t>
  </si>
  <si>
    <t>Login_06</t>
  </si>
  <si>
    <t>Verify that the 'User Name' field does not accept special characters.</t>
  </si>
  <si>
    <t>User can enter any character type name..</t>
  </si>
  <si>
    <t>Click Login without entering any data</t>
  </si>
  <si>
    <t>The input field should be available for user entry.</t>
  </si>
  <si>
    <t>Login_07</t>
  </si>
  <si>
    <t>Verify that the 'Login' button is displayed and enabled.</t>
  </si>
  <si>
    <t>User Must click the Login  button.</t>
  </si>
  <si>
    <t>The password input field should be available for user entry.</t>
  </si>
  <si>
    <t>Login_08</t>
  </si>
  <si>
    <t>Verify that clicking 'Login' with empty credentials shows an error message.</t>
  </si>
  <si>
    <t>Enter in the username field and any password, click Login</t>
  </si>
  <si>
    <t>Password should be displayed as asterisks or dots.</t>
  </si>
  <si>
    <t>Login_09</t>
  </si>
  <si>
    <t>Verify that clicking 'Login' with an incorrect username/password shows an error message.</t>
  </si>
  <si>
    <t>Users should be able to type in both fields.</t>
  </si>
  <si>
    <t>Login_10</t>
  </si>
  <si>
    <t>Enter password and check if it's displayed as dots or asterisks</t>
  </si>
  <si>
    <t>The system should show an appropriate error message.</t>
  </si>
  <si>
    <t>Login_11</t>
  </si>
  <si>
    <t>The system should restrict invalid characters.</t>
  </si>
  <si>
    <t>Login_12</t>
  </si>
  <si>
    <t>Verify that the 'Forgot Password' link is present and clickable.</t>
  </si>
  <si>
    <t>Click on 'Forgot Password'</t>
  </si>
  <si>
    <t>Login_13</t>
  </si>
  <si>
    <t>Verify that clicking 'Forgot Password' redirects to the password recovery page.</t>
  </si>
  <si>
    <t>Enter the correct password but with different case variations, click Login</t>
  </si>
  <si>
    <t>The system should prompt the user to enter credentials.</t>
  </si>
  <si>
    <t>Login_14</t>
  </si>
  <si>
    <t>Enter incorrect credentials multiple times</t>
  </si>
  <si>
    <t>A 'Invalid credentials' message should be displayed.</t>
  </si>
  <si>
    <t>Login_15</t>
  </si>
  <si>
    <t>The user should be logged in and redirected.</t>
  </si>
  <si>
    <t>Login_16</t>
  </si>
  <si>
    <t>Verify that SQL injection is not possible in the username/password fields.</t>
  </si>
  <si>
    <t>Attempt login when the system is under maintenance</t>
  </si>
  <si>
    <t>The system should navigate to the password reset screen.</t>
  </si>
  <si>
    <t>Login_17</t>
  </si>
  <si>
    <t>Verify that clicking the 'Exit' button closes the application securely.</t>
  </si>
  <si>
    <t>Log in with valid credentials</t>
  </si>
  <si>
    <t>The link should be visible and accessible.</t>
  </si>
  <si>
    <t>Login_18</t>
  </si>
  <si>
    <t>Click on 'Select Device'</t>
  </si>
  <si>
    <t>A device selection dialog should appear.</t>
  </si>
  <si>
    <t>Login_19</t>
  </si>
  <si>
    <t>The system should prompt the user to select a device.</t>
  </si>
  <si>
    <t>Login_20</t>
  </si>
  <si>
    <t>The application should close without errors.</t>
  </si>
  <si>
    <t>DG_001</t>
  </si>
  <si>
    <t>DieselGenerator</t>
  </si>
  <si>
    <t>Verify 'Mains Parameters' values are displayed correctly</t>
  </si>
  <si>
    <t>Data get  from Manager Application.</t>
  </si>
  <si>
    <t>Navigate to the application and check the values under 'Mains Parameters'</t>
  </si>
  <si>
    <t>User can see the Live data is here</t>
  </si>
  <si>
    <t>Values should match expected generator readings</t>
  </si>
  <si>
    <t>Generator data can view successfully</t>
  </si>
  <si>
    <t>Test executed successfully without any issues</t>
  </si>
  <si>
    <t>DG_002</t>
  </si>
  <si>
    <t>Verify 'Engine Group' values are displayed correctly</t>
  </si>
  <si>
    <t>Check values under 'Engine Group'</t>
  </si>
  <si>
    <t>Values should match expected engine readings</t>
  </si>
  <si>
    <t>DG_003</t>
  </si>
  <si>
    <t>Verify 'Generator Group' values are displayed correctly</t>
  </si>
  <si>
    <t>Check values under 'Generator Group'</t>
  </si>
  <si>
    <t>DG_004</t>
  </si>
  <si>
    <t>Check if 'Event Time' is displayed for all parameters</t>
  </si>
  <si>
    <t>Ensure all rows have an event time</t>
  </si>
  <si>
    <t>Each row should have a valid timestamp</t>
  </si>
  <si>
    <t>DG_005</t>
  </si>
  <si>
    <t>Verify the 'Status' indicators are correctly displayed</t>
  </si>
  <si>
    <t>Check the status indicators next to each parameter</t>
  </si>
  <si>
    <t>Indicators should accurately reflect system state</t>
  </si>
  <si>
    <t>DG_006</t>
  </si>
  <si>
    <t>Validate TRAP alert is triggered correctly</t>
  </si>
  <si>
    <t>Check if 'TRAP (S) Received' appears when a trap is received</t>
  </si>
  <si>
    <t>Alert should appear when a TRAP event occurs</t>
  </si>
  <si>
    <t>DG_007</t>
  </si>
  <si>
    <t>Validate Critical Trap alert is triggered correctly</t>
  </si>
  <si>
    <t>Check if 'Critical Trap (S) Received' appears when a critical trap is received</t>
  </si>
  <si>
    <t>Alert should appear when a critical event occurs</t>
  </si>
  <si>
    <t>DG_008</t>
  </si>
  <si>
    <t>Ensure UI layout is correctly aligned</t>
  </si>
  <si>
    <t>Verify tables and sections are properly formatted</t>
  </si>
  <si>
    <t>UI should be properly aligned without overlapping</t>
  </si>
  <si>
    <t>DG_009</t>
  </si>
  <si>
    <t>Check if application updates values in real-time</t>
  </si>
  <si>
    <t>Monitor the values and ensure they update as expected</t>
  </si>
  <si>
    <t>Values should refresh periodically</t>
  </si>
  <si>
    <t>DG_010</t>
  </si>
  <si>
    <t>Verify voltage and current values are within expected ranges</t>
  </si>
  <si>
    <t>Compare displayed values with acceptable ranges</t>
  </si>
  <si>
    <t>Values should be within expected operational limits</t>
  </si>
  <si>
    <t>UPS_001</t>
  </si>
  <si>
    <t>UPS</t>
  </si>
  <si>
    <t>Verify 'UPS Identity Parameters' are displayed correctly</t>
  </si>
  <si>
    <t>Check values under 'UPS Identity Parameters'</t>
  </si>
  <si>
    <t>Values should match expected UPS details</t>
  </si>
  <si>
    <t>UPS data can view successfully</t>
  </si>
  <si>
    <t>UPS_002</t>
  </si>
  <si>
    <t>Verify 'UPS Input Parameters' are displayed correctly</t>
  </si>
  <si>
    <t>Check values under 'UPS Input Parameters'</t>
  </si>
  <si>
    <t>Values should match expected UPS readings</t>
  </si>
  <si>
    <t>UPS_003</t>
  </si>
  <si>
    <t>Verify 'UPS Output Parameters' are displayed correctly</t>
  </si>
  <si>
    <t>Check values under 'UPS Output Parameters'</t>
  </si>
  <si>
    <t>UPS_004</t>
  </si>
  <si>
    <t>Verify 'UPS Bypass Parameters' are displayed correctly</t>
  </si>
  <si>
    <t>Check values under 'UPS Bypass Parameters'</t>
  </si>
  <si>
    <t>UPS_005</t>
  </si>
  <si>
    <t>UPS_006</t>
  </si>
  <si>
    <t>UPS_007</t>
  </si>
  <si>
    <t>UPS_008</t>
  </si>
  <si>
    <t>UPS_009</t>
  </si>
  <si>
    <t>UPS_010</t>
  </si>
  <si>
    <t>UPS_011</t>
  </si>
  <si>
    <t>Switch_001</t>
  </si>
  <si>
    <t>Switch</t>
  </si>
  <si>
    <t>Verify that all switch parameters are displayed correctly</t>
  </si>
  <si>
    <t>Check all parameters correctly.</t>
  </si>
  <si>
    <t>All switch ports should be listed with status</t>
  </si>
  <si>
    <t>Switch data can view successfully</t>
  </si>
  <si>
    <t>Switch_002</t>
  </si>
  <si>
    <t>Verify that Admin Parameters are loaded correctly</t>
  </si>
  <si>
    <t>All Admin Status entries should be displayed</t>
  </si>
  <si>
    <t>Switch_003</t>
  </si>
  <si>
    <t>Verify that Operation Parameters are displayed</t>
  </si>
  <si>
    <t>All Operation Status entries should be listed</t>
  </si>
  <si>
    <t>Switch_004</t>
  </si>
  <si>
    <t>Verify that Cisco Environment Temperature parameters are displayed</t>
  </si>
  <si>
    <t>All temperature-related parameters should be listed</t>
  </si>
  <si>
    <t>Switch_005</t>
  </si>
  <si>
    <t>Check if status indicators are updating dynamically</t>
  </si>
  <si>
    <t>Status indicators should change based on real-time data</t>
  </si>
  <si>
    <t>Switch_006</t>
  </si>
  <si>
    <t>Check if tooltips/icons for Admin/Operation parameters work</t>
  </si>
  <si>
    <t>Icons should provide expected tooltips or actions</t>
  </si>
  <si>
    <t>Switch_007</t>
  </si>
  <si>
    <t>Verify UI responsiveness</t>
  </si>
  <si>
    <t>UI elements should adjust correctly on resizing</t>
  </si>
  <si>
    <t>Switch_008</t>
  </si>
  <si>
    <t>Ensure event timestamps appear correctly</t>
  </si>
  <si>
    <t>All Event Time fields should show valid timestamps</t>
  </si>
  <si>
    <t>Switch_009</t>
  </si>
  <si>
    <t>Check if scrollbar appears when needed</t>
  </si>
  <si>
    <t>Scrollbar should appear if data exceeds visible area</t>
  </si>
  <si>
    <t>Switch_010</t>
  </si>
  <si>
    <t>UI should handle missing or incorrect data gracefully</t>
  </si>
  <si>
    <t>Radio_001</t>
  </si>
  <si>
    <t>Radio</t>
  </si>
  <si>
    <t>Verify that Terminal Mode options (Base, Remote, Repeater) are displayed</t>
  </si>
  <si>
    <t>All three options should be visible</t>
  </si>
  <si>
    <t>Radio data can view successfully</t>
  </si>
  <si>
    <t>Radio_002</t>
  </si>
  <si>
    <t>Verify that IP Address fields (ManagerIpAddress, NetMaskIpAddress) are displayed</t>
  </si>
  <si>
    <t>Both fields should be visible</t>
  </si>
  <si>
    <t>Radio_003</t>
  </si>
  <si>
    <t>Verify that Voltage parameters are displayed</t>
  </si>
  <si>
    <t>All voltage values (+5V, +12V, -5V, +49V) should be visible</t>
  </si>
  <si>
    <t>Radio_004</t>
  </si>
  <si>
    <t>Verify that Slot Information section displays all slots</t>
  </si>
  <si>
    <t>All slots (1-6) should be listed</t>
  </si>
  <si>
    <t>Radio_005</t>
  </si>
  <si>
    <t>Verify that Slot Active indicators are working</t>
  </si>
  <si>
    <t>Slot Active status should reflect real-time data</t>
  </si>
  <si>
    <t>Radio_006</t>
  </si>
  <si>
    <t>Verify that Link, Channel No, RSSI, SNR, and other parameters are displayed</t>
  </si>
  <si>
    <t>All parameters should have correct values</t>
  </si>
  <si>
    <t>Radio_007</t>
  </si>
  <si>
    <t>Verify that TRAP (S) Receive section is displayed</t>
  </si>
  <si>
    <t>TRAP (S) Receive should be visible and updated dynamically</t>
  </si>
  <si>
    <t>Radio_008</t>
  </si>
  <si>
    <t>Verify that UI elements are aligned properly</t>
  </si>
  <si>
    <t>UI should not have overlapping or misaligned elements</t>
  </si>
  <si>
    <t>Radio_009</t>
  </si>
  <si>
    <t>Check if the status indicators change dynamically</t>
  </si>
  <si>
    <t>Status indicators should reflect real-time changes</t>
  </si>
  <si>
    <t>Config_001</t>
  </si>
  <si>
    <t>Configuration</t>
  </si>
  <si>
    <t>Verify UI layout and elements</t>
  </si>
  <si>
    <t>Configuration data takes from configuration text file</t>
  </si>
  <si>
    <t>User wants to click login</t>
  </si>
  <si>
    <t xml:space="preserve"> Username: Icomm
Password: Icomm@123</t>
  </si>
  <si>
    <t>The corresponding parameter list should load correctly for each subsystem</t>
  </si>
  <si>
    <t>Configuration View Successfully.</t>
  </si>
  <si>
    <t xml:space="preserve"> Test executed successfully without any issues</t>
  </si>
  <si>
    <t>Config_002</t>
  </si>
  <si>
    <t>Verify subsystem selection</t>
  </si>
  <si>
    <t xml:space="preserve"> Username: Icomm
Password: Icomm@124</t>
  </si>
  <si>
    <t>The fields should become editable</t>
  </si>
  <si>
    <t>Config_003</t>
  </si>
  <si>
    <t>Verify Edit button functionality</t>
  </si>
  <si>
    <t xml:space="preserve"> Username: Icomm
Password: Icomm@125</t>
  </si>
  <si>
    <t>The latest data should be loaded from the backend</t>
  </si>
  <si>
    <t>Config_004</t>
  </si>
  <si>
    <t>Verify Refresh button functionality</t>
  </si>
  <si>
    <t xml:space="preserve"> Username: Icomm
Password: Icomm@126</t>
  </si>
  <si>
    <t>All columns should be correctly populated with data</t>
  </si>
  <si>
    <t>Config_005</t>
  </si>
  <si>
    <t>Verify column data population</t>
  </si>
  <si>
    <t xml:space="preserve"> Username: Icomm
Password: Icomm@127</t>
  </si>
  <si>
    <t>The updated values should be stored correctly</t>
  </si>
  <si>
    <t>Config_006</t>
  </si>
  <si>
    <t>Verify Min and Max values update</t>
  </si>
  <si>
    <t xml:space="preserve"> Username: Icomm
Password: Icomm@128</t>
  </si>
  <si>
    <t>The UI should highlight values based on the configured range</t>
  </si>
  <si>
    <t>Config_007</t>
  </si>
  <si>
    <t>Verify range color classification</t>
  </si>
  <si>
    <t xml:space="preserve"> Username: Icomm
Password: Icomm@129</t>
  </si>
  <si>
    <t>The user should be logged out and redirected to the login screen</t>
  </si>
  <si>
    <t>Config_008</t>
  </si>
  <si>
    <t>Verify logout functionality</t>
  </si>
  <si>
    <t xml:space="preserve"> Username: Icomm
Password: Icomm@130</t>
  </si>
  <si>
    <t>A help dialog or document should open</t>
  </si>
  <si>
    <t>Config_009</t>
  </si>
  <si>
    <t>Verify Help button functionality</t>
  </si>
  <si>
    <t xml:space="preserve"> Username: Icomm
Password: Icomm@131</t>
  </si>
  <si>
    <t>The table should scroll smoothly without UI glitches</t>
  </si>
  <si>
    <t>Config_010</t>
  </si>
  <si>
    <t>Verify scrollbar functionality</t>
  </si>
  <si>
    <t xml:space="preserve"> Username: Icomm
Password: Icomm@132</t>
  </si>
  <si>
    <t>Config_011</t>
  </si>
  <si>
    <t>Verify Normal User Login</t>
  </si>
  <si>
    <t xml:space="preserve"> Username: Icomm
Password: Icomm@133</t>
  </si>
  <si>
    <t>If User is a Normal user he don't have access to edit the data.</t>
  </si>
  <si>
    <t>UI_01</t>
  </si>
  <si>
    <t>DashBoard</t>
  </si>
  <si>
    <t>Verify that the dashboard layout is displayed correctly.</t>
  </si>
  <si>
    <t>User can login with the right credentials</t>
  </si>
  <si>
    <t>All UI elements should be properly aligned and visible.</t>
  </si>
  <si>
    <t>Dashboard View succesfully</t>
  </si>
  <si>
    <t>UI_02</t>
  </si>
  <si>
    <t>UI_03</t>
  </si>
  <si>
    <t>Verify that the current date and time are displayed correctly.</t>
  </si>
  <si>
    <t>Date and time should be accurate and update dynamically.</t>
  </si>
  <si>
    <t>UI_04</t>
  </si>
  <si>
    <t>Verify that the 'Logout' button is visible and functional.</t>
  </si>
  <si>
    <t>Clicking 'Logout' should log the user out and return to the login screen.</t>
  </si>
  <si>
    <t>UI_05</t>
  </si>
  <si>
    <t>Verify that the 'Sub Systems Info' tab is displayed and accessible.</t>
  </si>
  <si>
    <t>The tab should be clickable and open the respective panel.</t>
  </si>
  <si>
    <t>UI_06</t>
  </si>
  <si>
    <t>Verify that the 'Mains Parameters' table displays correct values.</t>
  </si>
  <si>
    <t>The values should match the backend data source.</t>
  </si>
  <si>
    <t>UI_07</t>
  </si>
  <si>
    <t>Verify that the 'UPS Parameters' table displays correct values.</t>
  </si>
  <si>
    <t>The values should be retrieved and displayed accurately.</t>
  </si>
  <si>
    <t>UI_08</t>
  </si>
  <si>
    <t>Verify that the 'Event Time' column displays correct timestamps.</t>
  </si>
  <si>
    <t>Timestamps should be formatted correctly and accurate.</t>
  </si>
  <si>
    <t>UI_09</t>
  </si>
  <si>
    <t>Verify that the status indicators are displayed correctly for each parameter.</t>
  </si>
  <si>
    <t>Status should match the corresponding system state.</t>
  </si>
  <si>
    <t>UI_10</t>
  </si>
  <si>
    <t>Verify that the 'TRAP (S) Received' section updates when a new trap is received.</t>
  </si>
  <si>
    <t>The trap count should increase dynamically.</t>
  </si>
  <si>
    <t>Verify that clicking the navigation arrows moves between subsystems.</t>
  </si>
  <si>
    <t>The subsystem panels should change accordingly.</t>
  </si>
  <si>
    <t>TR_001</t>
  </si>
  <si>
    <t>TableReports</t>
  </si>
  <si>
    <t>Launch the application and check the default 'From Date' and 'To Date'</t>
  </si>
  <si>
    <t>Dates should be pre-filled with the current date</t>
  </si>
  <si>
    <t>Table Reports Viewed Successfully.</t>
  </si>
  <si>
    <t>TR_002</t>
  </si>
  <si>
    <t>Select a different 'From Date' and 'To Date' and click 'Filter'</t>
  </si>
  <si>
    <t>Report should display data for the selected date range</t>
  </si>
  <si>
    <t>TR_003</t>
  </si>
  <si>
    <t>Toggle between 'SNMP Trap' and 'SNMP Non Trap' and click 'Filter'</t>
  </si>
  <si>
    <t>Report should update according to the selected SNMP type</t>
  </si>
  <si>
    <t>TR_004</t>
  </si>
  <si>
    <t>Compare the displayed data with the expected system logs</t>
  </si>
  <si>
    <t>Report data should match expected values</t>
  </si>
  <si>
    <t>TR_005</t>
  </si>
  <si>
    <t>Navigate through report pages using pagination controls</t>
  </si>
  <si>
    <t>User should be able to navigate through pages correctly</t>
  </si>
  <si>
    <t>TR_006</t>
  </si>
  <si>
    <t>Use the search bar to find a specific parameter</t>
  </si>
  <si>
    <t>The searched parameter should be highlighted or displayed</t>
  </si>
  <si>
    <t>TR_007</t>
  </si>
  <si>
    <t>Resize the window or use different screen resolutions</t>
  </si>
  <si>
    <t>UI should remain properly aligned and functional</t>
  </si>
  <si>
    <t>TR_008</t>
  </si>
  <si>
    <t>Click on the 'Close' button</t>
  </si>
  <si>
    <t>Application should close or return to the previous screen</t>
  </si>
  <si>
    <t>TR_009</t>
  </si>
  <si>
    <t>Check the format of the event time in the report</t>
  </si>
  <si>
    <t>Time should be in 'DD-MM-YYYY HH:MM' format</t>
  </si>
  <si>
    <t>Click the 'Help' button</t>
  </si>
  <si>
    <t>Help documentation should be displayed</t>
  </si>
  <si>
    <t>LG_001</t>
  </si>
  <si>
    <t>Linegraph</t>
  </si>
  <si>
    <t>Launch the application and check default 'From Date' and 'To Date'</t>
  </si>
  <si>
    <t>Username: Icomm
Password: Icomm@123</t>
  </si>
  <si>
    <t>Linegraph Viewed Successfully.</t>
  </si>
  <si>
    <t>LG_002</t>
  </si>
  <si>
    <t>Select different 'From Date' and 'To Date', then click 'Load Graph'</t>
  </si>
  <si>
    <t>Graph should display data for the selected date range</t>
  </si>
  <si>
    <t>LG_003</t>
  </si>
  <si>
    <t>Choose a different parameter from the dropdown and click 'Load Graph'</t>
  </si>
  <si>
    <t>Graph should update according to the selected parameter</t>
  </si>
  <si>
    <t>LG_004</t>
  </si>
  <si>
    <t>Check the plotted graph values against the expected data</t>
  </si>
  <si>
    <t>Graph should accurately represent the parameter values</t>
  </si>
  <si>
    <t>LG_005</t>
  </si>
  <si>
    <t>Resize window or use different screen resolutions</t>
  </si>
  <si>
    <t>Graph should adjust without misalignment or distortion</t>
  </si>
  <si>
    <t>LG_006</t>
  </si>
  <si>
    <t>Graph should update based on the selected inputs</t>
  </si>
  <si>
    <t>LG_007</t>
  </si>
  <si>
    <t>Select a date range with no data and click 'Load Graph'</t>
  </si>
  <si>
    <t>Graph should display an appropriate message instead of an empty screen</t>
  </si>
  <si>
    <t>LG_008</t>
  </si>
  <si>
    <t>Check X-axis and Y-axis labels for correctness</t>
  </si>
  <si>
    <t>Labels should correspond to 'Date Time' and 'Parameter Value'</t>
  </si>
  <si>
    <t>LG_009</t>
  </si>
  <si>
    <t>Click the 'Logout' button</t>
  </si>
  <si>
    <t>User should be logged out and redirected to the login page</t>
  </si>
  <si>
    <t>LG_010</t>
  </si>
  <si>
    <t>MA_001</t>
  </si>
  <si>
    <t>ManageArchive</t>
  </si>
  <si>
    <t>Manage Archive Viewed Successfully</t>
  </si>
  <si>
    <t>MA_002</t>
  </si>
  <si>
    <t>Select different 'From Date' and 'To Date', then click 'View'</t>
  </si>
  <si>
    <t>Records should be displayed for the selected date range</t>
  </si>
  <si>
    <t>MA_003</t>
  </si>
  <si>
    <t>Toggle between 'SNMP Trap' and 'SNMP Non Trap' and click 'View'</t>
  </si>
  <si>
    <t>Records should update according to the selected SNMP type</t>
  </si>
  <si>
    <t>MA_004</t>
  </si>
  <si>
    <t>Click 'Next' and 'Previous' buttons</t>
  </si>
  <si>
    <t>User should be able to navigate between pages correctly</t>
  </si>
  <si>
    <t>MA_005</t>
  </si>
  <si>
    <t>Check displayed records against the expected system logs</t>
  </si>
  <si>
    <t>Displayed data should match expected values</t>
  </si>
  <si>
    <t>MA_006</t>
  </si>
  <si>
    <t>Modify a record and click 'Save'</t>
  </si>
  <si>
    <t>Changes should be successfully saved</t>
  </si>
  <si>
    <t>MA_007</t>
  </si>
  <si>
    <t>Select a record and click 'Delete'</t>
  </si>
  <si>
    <t>Selected record should be removed from the list</t>
  </si>
  <si>
    <t>MA_008</t>
  </si>
  <si>
    <t>Click 'View' after selecting filter criteria</t>
  </si>
  <si>
    <t>Relevant records should be displayed</t>
  </si>
  <si>
    <t>MA_009</t>
  </si>
  <si>
    <t>Table and buttons should remain properly aligned</t>
  </si>
  <si>
    <t>MA_010</t>
  </si>
  <si>
    <t>MU_01</t>
  </si>
  <si>
    <t>Click the 'Delete' button</t>
  </si>
  <si>
    <t>Admin can delete the selected data using this.</t>
  </si>
  <si>
    <t>Manage User Viewed Successfully</t>
  </si>
  <si>
    <t>MU_02</t>
  </si>
  <si>
    <t>Click the 'Create User' button</t>
  </si>
  <si>
    <t>Admin can create new user using this button.</t>
  </si>
  <si>
    <t>MU_03</t>
  </si>
  <si>
    <t>SI-001</t>
  </si>
  <si>
    <t>Subsysteminfo</t>
  </si>
  <si>
    <t>Verify that the Sub System Status window loads correctly</t>
  </si>
  <si>
    <t>User wants to click the subsysteminfo button.</t>
  </si>
  <si>
    <t>The window should display without errors</t>
  </si>
  <si>
    <t>Subsysteminfo data viewd.</t>
  </si>
  <si>
    <t>SI-002</t>
  </si>
  <si>
    <t>Check that all sections and panels are visible</t>
  </si>
  <si>
    <t>All panels should be displayed properly</t>
  </si>
  <si>
    <t>SI-003</t>
  </si>
  <si>
    <t>Validate that the Preview Mode toggle button is displayed in each section</t>
  </si>
  <si>
    <t>Preview Mode should be visible in all panels</t>
  </si>
  <si>
    <t>SI-004</t>
  </si>
  <si>
    <t>Ensure that the icons and colors for status indicators are correctly displayed</t>
  </si>
  <si>
    <t>Icons should be visible and should represent statuses correctly</t>
  </si>
  <si>
    <t>SI-005</t>
  </si>
  <si>
    <t>Test resizing the window and ensure all UI elements adjust properly</t>
  </si>
  <si>
    <t>The UI should be responsive without overlapping or breaking layout</t>
  </si>
  <si>
    <t>SI-006</t>
  </si>
  <si>
    <t>Verify that Mains Frequency, Voltage values, Status, and Event Time are correctly displayed</t>
  </si>
  <si>
    <t>The values should be accurate and formatted correctly</t>
  </si>
  <si>
    <t>SI-007</t>
  </si>
  <si>
    <t>Ensure that Status indicators (dots) reflect actual system status</t>
  </si>
  <si>
    <t>The status should change dynamically based on real-time values</t>
  </si>
  <si>
    <t>SI-008</t>
  </si>
  <si>
    <t>Test whether scrolling works if additional data is present</t>
  </si>
  <si>
    <t>The user should be able to scroll smoothly</t>
  </si>
  <si>
    <t>SI-009</t>
  </si>
  <si>
    <t>Verify that Battery Status, Manufacturer, Model, Software Version, and Serial Number are displayed</t>
  </si>
  <si>
    <t>Correct details should be visible</t>
  </si>
  <si>
    <t>SI-010</t>
  </si>
  <si>
    <t>Ensure Event Time updates correctly when new data arrives</t>
  </si>
  <si>
    <t>The event time should reflect the latest updates</t>
  </si>
  <si>
    <t>SI-011</t>
  </si>
  <si>
    <t>Validate that Battery Status shows correct values (e.g., 'batteryDepleted')</t>
  </si>
  <si>
    <t>The status should be accurate</t>
  </si>
  <si>
    <t>SI-012</t>
  </si>
  <si>
    <t>Verify that each port's status (GE/10/1, GE/0/0, etc.) is displayed</t>
  </si>
  <si>
    <t>All ports should be listed with their correct status</t>
  </si>
  <si>
    <t>SI-013</t>
  </si>
  <si>
    <t>Check that the router admin status section displays proper event time and link status</t>
  </si>
  <si>
    <t>Information should be correct and up to date</t>
  </si>
  <si>
    <t>SI-014</t>
  </si>
  <si>
    <t>Ensure that the status indicators (dots) correctly reflect active/inactive states</t>
  </si>
  <si>
    <t>Green for active, grey for inactive (or per defined color coding)</t>
  </si>
  <si>
    <t>SI-015</t>
  </si>
  <si>
    <t>Verify that the Terminal Mode radio buttons work correctly</t>
  </si>
  <si>
    <t>Selecting a mode should update the system accordingly</t>
  </si>
  <si>
    <t>SI-016</t>
  </si>
  <si>
    <t>Check that IP Address fields (Manager IP, Netmask IP) accept and display valid data</t>
  </si>
  <si>
    <t>Fields should accept only valid IP formats</t>
  </si>
  <si>
    <t>SI-017</t>
  </si>
  <si>
    <t>Verify that Voltage parameter is displayed correctly</t>
  </si>
  <si>
    <t>The value should be accurate</t>
  </si>
  <si>
    <t>SI-018</t>
  </si>
  <si>
    <t>Ensure the voltage indicator updates dynamically when values change</t>
  </si>
  <si>
    <t>The indicator should refresh without lag</t>
  </si>
  <si>
    <t>Subsysteminfo data viewed.</t>
  </si>
  <si>
    <t>SI-019</t>
  </si>
  <si>
    <t>Verify that Trap ID, System Name, Trap Info, Trap Group Name, and Trap Value are displayed properly</t>
  </si>
  <si>
    <t>Data should be formatted correctly</t>
  </si>
  <si>
    <t>SI-020</t>
  </si>
  <si>
    <t>Test sorting functionality for Trap ID and other columns</t>
  </si>
  <si>
    <t>Sorting should work as expected</t>
  </si>
  <si>
    <t>SI-021</t>
  </si>
  <si>
    <t>Ensure that scrolling works smoothly when multiple trap logs are displayed</t>
  </si>
  <si>
    <t>The user should be able to scroll without lag</t>
  </si>
  <si>
    <t>SI-022</t>
  </si>
  <si>
    <t>Verify that the dashboard updates data in real-time</t>
  </si>
  <si>
    <t>Data should refresh dynamically</t>
  </si>
  <si>
    <t>SI-023</t>
  </si>
  <si>
    <t>The mode should switch as expected</t>
  </si>
  <si>
    <t>SI-024</t>
  </si>
  <si>
    <t>Check application performance with a large number of data entries</t>
  </si>
  <si>
    <t>The application should not lag or crash</t>
  </si>
  <si>
    <t>SI-025</t>
  </si>
  <si>
    <t>Verify behavior when no data is available</t>
  </si>
  <si>
    <t>UI should display 'No Data Available' instead of crashing</t>
  </si>
  <si>
    <t>SI-026</t>
  </si>
  <si>
    <t>The UI should show an appropriate error message</t>
  </si>
  <si>
    <t>verify the Show -hide password when click on button show password only.</t>
  </si>
  <si>
    <t>when every  login  clear credentials in the fields.</t>
  </si>
  <si>
    <t>User Must selcet Device.</t>
  </si>
  <si>
    <t>Remember Me checkbox by Default Un-Checked.</t>
  </si>
  <si>
    <t>Create Exercise checkbox by Default Un-Checked.</t>
  </si>
  <si>
    <t>by default  UserName and Password is Empty.</t>
  </si>
  <si>
    <t>Hide the password by default showed like dots.</t>
  </si>
  <si>
    <t>Enter valid username and password, click Login Button.</t>
  </si>
  <si>
    <t>Enter incorrect username or password, click Login Button.</t>
  </si>
  <si>
    <t>Leave username or password empty, click Login Button.</t>
  </si>
  <si>
    <t>None( password field empty)</t>
  </si>
  <si>
    <t>None(`User Name field empty)</t>
  </si>
  <si>
    <t>Enter special characters in the username field, enter a valid password, click Login Button.</t>
  </si>
  <si>
    <t xml:space="preserve"> when click on show -hide Icon password vissible.</t>
  </si>
  <si>
    <t>Checked on Remember Me</t>
  </si>
  <si>
    <t>Checked on Create Execrsice</t>
  </si>
  <si>
    <t xml:space="preserve">In Excersice Written user Information Click on Save Button. </t>
  </si>
  <si>
    <t>In the popup message 'Data is Saved Succefully Saved'  then Click on OK button.</t>
  </si>
  <si>
    <t xml:space="preserve">	Username: Icomm
Password: Icomm@123  Login successful, Opem Main Window.</t>
  </si>
  <si>
    <t>Error message: Invalid username or password.</t>
  </si>
  <si>
    <t>it is working fine.</t>
  </si>
  <si>
    <t>User Does not Exits, Invalid username or password.</t>
  </si>
  <si>
    <t xml:space="preserve">Open SeclectionDevice Window. </t>
  </si>
  <si>
    <t>Is Checked Save the password Untill Uncheck.</t>
  </si>
  <si>
    <t>Is Checked open Execrsice window.</t>
  </si>
  <si>
    <t xml:space="preserve"> Data is Saved Succefully Saved, The Record is Saved in DB.</t>
  </si>
  <si>
    <t xml:space="preserve"> The  Execrsice window is Closed.</t>
  </si>
  <si>
    <t xml:space="preserve">Error message:Please enter Exercise Type </t>
  </si>
  <si>
    <t>show-hide password clicked on button working fine.</t>
  </si>
  <si>
    <t>Srikanth</t>
  </si>
  <si>
    <t>Login_21</t>
  </si>
  <si>
    <t>Login_22</t>
  </si>
  <si>
    <t>Login_23</t>
  </si>
  <si>
    <t>Error message: Enter atleast 4 charecters</t>
  </si>
  <si>
    <t xml:space="preserve">In Excersice window  empty details try to Save  Click on SaveButton. </t>
  </si>
  <si>
    <t>In Excersicetype is length is lessthen 4 chars</t>
  </si>
  <si>
    <t>Verify that the 'Go Back to Login' link is present and clickable.</t>
  </si>
  <si>
    <t>Verify that clicking 'Login' with correct credentials redirects to the device selection window</t>
  </si>
  <si>
    <t xml:space="preserve"> Preview  is not working  (No Data Found Error Msg)</t>
  </si>
  <si>
    <t>After Clickload button not reflecting.</t>
  </si>
  <si>
    <t>There is no preview button in the Window.</t>
  </si>
  <si>
    <t>It is All Ways Enable mode only.</t>
  </si>
  <si>
    <t>Check how the system voltage or status data in dg</t>
  </si>
  <si>
    <t>Verify error handling in the Switch if sub system slide to next page</t>
  </si>
  <si>
    <t>MU_04</t>
  </si>
  <si>
    <t>With Existing user details to New Creating user</t>
  </si>
  <si>
    <t>Admin can create new user using Existing UserDetails.</t>
  </si>
  <si>
    <t>Test executed successfully without any issues.</t>
  </si>
  <si>
    <t>MU_05</t>
  </si>
  <si>
    <t>Miss-Match Password</t>
  </si>
  <si>
    <t>MU_06</t>
  </si>
  <si>
    <t>Click on Edit Button</t>
  </si>
  <si>
    <t>MU_07</t>
  </si>
  <si>
    <t>Click on Save Button</t>
  </si>
  <si>
    <t>Admin can Edit the Details or data using Edit Button</t>
  </si>
  <si>
    <t>Admin can Save the Data using Save Button</t>
  </si>
  <si>
    <t>Click on Cancel Button</t>
  </si>
  <si>
    <t>Admin can Close the Add new UserWindow using Cancel Button</t>
  </si>
  <si>
    <t>MU_09</t>
  </si>
  <si>
    <t>UserManagement</t>
  </si>
  <si>
    <t>MU_10</t>
  </si>
  <si>
    <t>MU_11</t>
  </si>
  <si>
    <t>Click on Logout Button</t>
  </si>
  <si>
    <t>Admin Can Logout the Application using logout Button.</t>
  </si>
  <si>
    <t>UserManagement Window Alinement,Timer and logs</t>
  </si>
  <si>
    <t>Admin Open Usermanagement window Alinement show data Formate and Time</t>
  </si>
  <si>
    <t>Verifyed that It is Editable working fine.</t>
  </si>
  <si>
    <t>Verifyed that Error message:   Password Do not Match.</t>
  </si>
  <si>
    <t>Verifyed that Data is saved Succesfully.working fine.</t>
  </si>
  <si>
    <t>Verifyed that Window is Closed Successfully.</t>
  </si>
  <si>
    <t>Verifyed that Application Closed  successfully</t>
  </si>
  <si>
    <t>Verifyed that alignment, data format, and time are displayed correctly.</t>
  </si>
  <si>
    <t>Verifyed that Show Hide Icon working fine.</t>
  </si>
  <si>
    <t>Click on Show and Hide Icon</t>
  </si>
  <si>
    <t>Admin  Enter mis-match Password for New User</t>
  </si>
  <si>
    <t>Click on Create button</t>
  </si>
  <si>
    <t>Admin  Click on Show-Hide Icon visible the password default it is Hide.(Dots)</t>
  </si>
  <si>
    <t>Admin Try to Create new user Click on the Create button  in the AddUserWindow.</t>
  </si>
  <si>
    <t xml:space="preserve"> Error message: UserName or Password or Mail Already exicuted.</t>
  </si>
  <si>
    <t>Module</t>
  </si>
  <si>
    <t>Passed</t>
  </si>
  <si>
    <t>Failed</t>
  </si>
  <si>
    <t>Total</t>
  </si>
  <si>
    <t>Pass%</t>
  </si>
  <si>
    <t>DG</t>
  </si>
  <si>
    <t>Dashboard</t>
  </si>
  <si>
    <t>LineGraph</t>
  </si>
  <si>
    <t>Archive Management</t>
  </si>
  <si>
    <t>User Management</t>
  </si>
  <si>
    <t>Sub-SystemStatus</t>
  </si>
  <si>
    <t>Verify that the 'Remember Me' option is used to avoid entering the same user credentials every time,using checkbox.</t>
  </si>
  <si>
    <t>Verify that the 'CreateExcersice' option is used to who is login the Application and purpose of login Saved using checkbox</t>
  </si>
  <si>
    <t>MU_08</t>
  </si>
  <si>
    <t>Tabular Report</t>
  </si>
  <si>
    <t>Sl</t>
  </si>
  <si>
    <t>Revision</t>
  </si>
  <si>
    <t>Auther</t>
  </si>
  <si>
    <t>Date of Revision</t>
  </si>
  <si>
    <t>Remarks</t>
  </si>
  <si>
    <t>Initial ver</t>
  </si>
  <si>
    <t xml:space="preserve">Contents </t>
  </si>
  <si>
    <t>Intial Report Prepared</t>
  </si>
  <si>
    <t>SOFTWARE TEST REPORT(STR)</t>
  </si>
  <si>
    <t>T Srikanth</t>
  </si>
  <si>
    <t>The button should not be visible and enabled when fields are filled.</t>
  </si>
  <si>
    <t>Login button is not disable and Enable</t>
  </si>
  <si>
    <t>Select parameters and Click 'Load Graph' after selecting parameters and date</t>
  </si>
  <si>
    <t xml:space="preserve">Lunch Command Processing (LCP) </t>
  </si>
  <si>
    <t>Test the Detail Mode toggle button to selected sub-system screen should be appear</t>
  </si>
  <si>
    <t xml:space="preserve"> Create the user successfully</t>
  </si>
  <si>
    <t>Reset Password is  working as expected .</t>
  </si>
  <si>
    <t>Verify that clicking 'Go Back to Login' link redirects to the normal position.</t>
  </si>
  <si>
    <t>Error message: Please Enter Valid Username and Password.</t>
  </si>
  <si>
    <t>to verify select the device in the selection window and we have two options select and cancel  to choose 'select' option it is redirect to Main window.</t>
  </si>
  <si>
    <t>Open Main window.</t>
  </si>
  <si>
    <t>AMAR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</si>
</sst>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22"/>
      <color rgb="FF0070C0"/>
      <name val="Arial"/>
      <family val="2"/>
    </font>
    <font>
      <b/>
      <sz val="16"/>
      <color rgb="FF0070C0"/>
      <name val="Arial"/>
      <family val="2"/>
    </font>
    <font>
      <b/>
      <sz val="14"/>
      <color rgb="FF0070C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wrapText="1"/>
    </xf>
    <xf numFmtId="14" fontId="0" fillId="0" borderId="1" xfId="0" applyNumberFormat="1" applyBorder="1"/>
    <xf numFmtId="0" fontId="0" fillId="0" borderId="1" xfId="0" applyBorder="1" applyAlignment="1">
      <alignment vertical="center" wrapText="1"/>
    </xf>
    <xf numFmtId="0" fontId="4" fillId="2" borderId="1" xfId="0" applyFont="1" applyFill="1" applyBorder="1"/>
    <xf numFmtId="0" fontId="3" fillId="0" borderId="1" xfId="0" applyFont="1" applyBorder="1"/>
    <xf numFmtId="14" fontId="3" fillId="0" borderId="1" xfId="0" applyNumberFormat="1" applyFont="1" applyBorder="1"/>
    <xf numFmtId="0" fontId="3" fillId="0" borderId="1" xfId="0" applyFont="1" applyBorder="1" applyAlignment="1">
      <alignment wrapText="1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 applyAlignment="1">
      <alignment wrapText="1"/>
    </xf>
    <xf numFmtId="0" fontId="0" fillId="5" borderId="1" xfId="0" applyFill="1" applyBorder="1"/>
    <xf numFmtId="0" fontId="5" fillId="5" borderId="1" xfId="0" applyFont="1" applyFill="1" applyBorder="1"/>
    <xf numFmtId="0" fontId="6" fillId="6" borderId="1" xfId="0" applyFont="1" applyFill="1" applyBorder="1"/>
    <xf numFmtId="0" fontId="6" fillId="0" borderId="1" xfId="0" applyFont="1" applyBorder="1"/>
    <xf numFmtId="0" fontId="6" fillId="7" borderId="1" xfId="0" applyFont="1" applyFill="1" applyBorder="1"/>
    <xf numFmtId="0" fontId="6" fillId="7" borderId="1" xfId="0" applyFont="1" applyFill="1" applyBorder="1" applyAlignment="1">
      <alignment wrapText="1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9" fontId="6" fillId="0" borderId="1" xfId="0" applyNumberFormat="1" applyFont="1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LCP TEST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Summery!$C$18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Summery!$B$19:$B$29</c:f>
              <c:strCache>
                <c:ptCount val="11"/>
                <c:pt idx="0">
                  <c:v>Login</c:v>
                </c:pt>
                <c:pt idx="1">
                  <c:v>DG</c:v>
                </c:pt>
                <c:pt idx="2">
                  <c:v>UPS</c:v>
                </c:pt>
                <c:pt idx="3">
                  <c:v>Switch</c:v>
                </c:pt>
                <c:pt idx="4">
                  <c:v>Radio</c:v>
                </c:pt>
                <c:pt idx="5">
                  <c:v>Dashboard</c:v>
                </c:pt>
                <c:pt idx="6">
                  <c:v>Tabular Report</c:v>
                </c:pt>
                <c:pt idx="7">
                  <c:v>LineGraph</c:v>
                </c:pt>
                <c:pt idx="8">
                  <c:v>Archive Management</c:v>
                </c:pt>
                <c:pt idx="9">
                  <c:v>User Management</c:v>
                </c:pt>
                <c:pt idx="10">
                  <c:v>Sub-SystemStatus</c:v>
                </c:pt>
              </c:strCache>
            </c:strRef>
          </c:cat>
          <c:val>
            <c:numRef>
              <c:f>Summery!$C$19:$C$29</c:f>
              <c:numCache>
                <c:formatCode>General</c:formatCode>
                <c:ptCount val="11"/>
                <c:pt idx="0">
                  <c:v>23</c:v>
                </c:pt>
                <c:pt idx="1">
                  <c:v>10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10</c:v>
                </c:pt>
                <c:pt idx="6">
                  <c:v>9</c:v>
                </c:pt>
                <c:pt idx="7">
                  <c:v>10</c:v>
                </c:pt>
                <c:pt idx="8">
                  <c:v>10</c:v>
                </c:pt>
                <c:pt idx="9">
                  <c:v>11</c:v>
                </c:pt>
                <c:pt idx="10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8C-46DF-950C-35598D045F8C}"/>
            </c:ext>
          </c:extLst>
        </c:ser>
        <c:ser>
          <c:idx val="1"/>
          <c:order val="1"/>
          <c:tx>
            <c:strRef>
              <c:f>Summery!$D$18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Summery!$B$19:$B$29</c:f>
              <c:strCache>
                <c:ptCount val="11"/>
                <c:pt idx="0">
                  <c:v>Login</c:v>
                </c:pt>
                <c:pt idx="1">
                  <c:v>DG</c:v>
                </c:pt>
                <c:pt idx="2">
                  <c:v>UPS</c:v>
                </c:pt>
                <c:pt idx="3">
                  <c:v>Switch</c:v>
                </c:pt>
                <c:pt idx="4">
                  <c:v>Radio</c:v>
                </c:pt>
                <c:pt idx="5">
                  <c:v>Dashboard</c:v>
                </c:pt>
                <c:pt idx="6">
                  <c:v>Tabular Report</c:v>
                </c:pt>
                <c:pt idx="7">
                  <c:v>LineGraph</c:v>
                </c:pt>
                <c:pt idx="8">
                  <c:v>Archive Management</c:v>
                </c:pt>
                <c:pt idx="9">
                  <c:v>User Management</c:v>
                </c:pt>
                <c:pt idx="10">
                  <c:v>Sub-SystemStatus</c:v>
                </c:pt>
              </c:strCache>
            </c:strRef>
          </c:cat>
          <c:val>
            <c:numRef>
              <c:f>Summery!$D$19:$D$29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8C-46DF-950C-35598D045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96516255"/>
        <c:axId val="1996516671"/>
        <c:axId val="0"/>
      </c:bar3DChart>
      <c:catAx>
        <c:axId val="1996516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516671"/>
        <c:crosses val="autoZero"/>
        <c:auto val="1"/>
        <c:lblAlgn val="ctr"/>
        <c:lblOffset val="100"/>
        <c:noMultiLvlLbl val="0"/>
      </c:catAx>
      <c:valAx>
        <c:axId val="199651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516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139700">
        <a:schemeClr val="accent1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247650</xdr:colOff>
      <xdr:row>16</xdr:row>
      <xdr:rowOff>171450</xdr:rowOff>
    </xdr:from>
    <xdr:to>
      <xdr:col>14</xdr:col>
      <xdr:colOff>85725</xdr:colOff>
      <xdr:row>35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20057B-2FC6-4053-ABBE-29ABAC9B4D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304800</xdr:colOff>
      <xdr:row>0</xdr:row>
      <xdr:rowOff>161925</xdr:rowOff>
    </xdr:from>
    <xdr:to>
      <xdr:col>1</xdr:col>
      <xdr:colOff>1323975</xdr:colOff>
      <xdr:row>3</xdr:row>
      <xdr:rowOff>161925</xdr:rowOff>
    </xdr:to>
    <xdr:pic>
      <xdr:nvPicPr>
        <xdr:cNvPr id="3" name="Picture 1" descr="image001">
          <a:extLst>
            <a:ext uri="{FF2B5EF4-FFF2-40B4-BE49-F238E27FC236}">
              <a16:creationId xmlns:a16="http://schemas.microsoft.com/office/drawing/2014/main" id="{F9134636-5BCB-47E2-AD42-1AA1BE636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61925"/>
          <a:ext cx="1371600" cy="733425"/>
        </a:xfrm>
        <a:prstGeom prst="rect">
          <a:avLst/>
        </a:prstGeom>
        <a:noFill/>
        <a:ln>
          <a:noFill/>
        </a:ln>
        <a:effectLst>
          <a:glow rad="63500">
            <a:schemeClr val="accent1">
              <a:satMod val="175000"/>
              <a:alpha val="40000"/>
            </a:schemeClr>
          </a:glow>
        </a:effectLst>
        <a:scene3d>
          <a:camera prst="orthographicFront"/>
          <a:lightRig rig="threePt" dir="t"/>
        </a:scene3d>
        <a:sp3d extrusionH="76200">
          <a:extrusionClr>
            <a:schemeClr val="accent1"/>
          </a:extrusionClr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BA1C2-CC86-46CD-B1DD-EA8EC711A148}">
  <dimension ref="A1:N35"/>
  <sheetViews>
    <sheetView topLeftCell="A10" workbookViewId="0">
      <selection activeCell="G41" sqref="G41"/>
    </sheetView>
  </sheetViews>
  <sheetFormatPr defaultRowHeight="15" x14ac:dyDescent="0.25"/>
  <cols>
    <col min="1" max="1" width="5.28515625" customWidth="1"/>
    <col min="2" max="2" width="21.140625" customWidth="1"/>
    <col min="3" max="3" width="9.140625" customWidth="1"/>
    <col min="4" max="4" width="21.7109375" customWidth="1"/>
    <col min="5" max="5" width="11" customWidth="1"/>
    <col min="6" max="6" width="10.7109375" customWidth="1"/>
    <col min="7" max="7" width="21.5703125" customWidth="1"/>
  </cols>
  <sheetData>
    <row r="1" spans="1:14" x14ac:dyDescent="0.25">
      <c r="B1" s="24"/>
    </row>
    <row r="2" spans="1:14" ht="15" customHeight="1" x14ac:dyDescent="0.25">
      <c r="B2" s="24"/>
      <c r="D2" s="25" t="s">
        <v>570</v>
      </c>
      <c r="E2" s="25"/>
      <c r="F2" s="25"/>
      <c r="G2" s="25"/>
    </row>
    <row r="3" spans="1:14" ht="27.75" customHeight="1" x14ac:dyDescent="0.25">
      <c r="D3" s="25"/>
      <c r="E3" s="25"/>
      <c r="F3" s="25"/>
      <c r="G3" s="25"/>
      <c r="L3" s="19"/>
      <c r="M3" s="20"/>
      <c r="N3" s="19"/>
    </row>
    <row r="4" spans="1:14" ht="20.25" customHeight="1" x14ac:dyDescent="0.25">
      <c r="D4" s="25"/>
      <c r="E4" s="25"/>
      <c r="F4" s="25"/>
      <c r="G4" s="25"/>
      <c r="L4" s="19"/>
      <c r="M4" s="21"/>
      <c r="N4" s="19"/>
    </row>
    <row r="5" spans="1:14" ht="20.25" customHeight="1" x14ac:dyDescent="0.25">
      <c r="D5" s="26" t="s">
        <v>575</v>
      </c>
      <c r="E5" s="26"/>
      <c r="F5" s="26"/>
      <c r="G5" s="26"/>
      <c r="L5" s="19"/>
      <c r="M5" s="21"/>
      <c r="N5" s="19"/>
    </row>
    <row r="6" spans="1:14" ht="20.25" customHeight="1" x14ac:dyDescent="0.25">
      <c r="D6" s="20"/>
      <c r="E6" s="20"/>
      <c r="F6" s="20"/>
      <c r="G6" s="20"/>
      <c r="L6" s="19"/>
      <c r="M6" s="21"/>
      <c r="N6" s="19"/>
    </row>
    <row r="7" spans="1:14" x14ac:dyDescent="0.25">
      <c r="A7" s="17" t="s">
        <v>562</v>
      </c>
      <c r="B7" s="17" t="s">
        <v>568</v>
      </c>
      <c r="C7" s="17" t="s">
        <v>563</v>
      </c>
      <c r="D7" s="18" t="s">
        <v>565</v>
      </c>
      <c r="E7" s="17" t="s">
        <v>564</v>
      </c>
      <c r="F7" s="17" t="s">
        <v>566</v>
      </c>
    </row>
    <row r="8" spans="1:14" x14ac:dyDescent="0.25">
      <c r="A8" s="1">
        <v>1</v>
      </c>
      <c r="B8" s="1" t="s">
        <v>569</v>
      </c>
      <c r="C8" s="1" t="s">
        <v>567</v>
      </c>
      <c r="D8" s="4">
        <v>45922</v>
      </c>
      <c r="E8" s="1" t="s">
        <v>571</v>
      </c>
      <c r="F8" s="1"/>
    </row>
    <row r="9" spans="1:14" x14ac:dyDescent="0.25">
      <c r="A9" s="1"/>
      <c r="B9" s="1"/>
      <c r="C9" s="1"/>
      <c r="D9" s="1"/>
      <c r="E9" s="1"/>
      <c r="F9" s="1"/>
    </row>
    <row r="10" spans="1:14" x14ac:dyDescent="0.25">
      <c r="A10" s="1"/>
      <c r="B10" s="1"/>
      <c r="C10" s="1"/>
      <c r="D10" s="1"/>
      <c r="E10" s="1"/>
      <c r="F10" s="1"/>
    </row>
    <row r="11" spans="1:14" x14ac:dyDescent="0.25">
      <c r="A11" s="1"/>
      <c r="B11" s="1"/>
      <c r="C11" s="1"/>
      <c r="D11" s="1"/>
      <c r="E11" s="1"/>
      <c r="F11" s="1"/>
    </row>
    <row r="12" spans="1:14" x14ac:dyDescent="0.25">
      <c r="A12" s="1"/>
      <c r="B12" s="1"/>
      <c r="C12" s="1"/>
      <c r="D12" s="1"/>
      <c r="E12" s="1"/>
      <c r="F12" s="1"/>
    </row>
    <row r="13" spans="1:14" x14ac:dyDescent="0.25">
      <c r="A13" s="1"/>
      <c r="B13" s="1"/>
      <c r="C13" s="1"/>
      <c r="D13" s="1"/>
      <c r="E13" s="1"/>
      <c r="F13" s="1"/>
    </row>
    <row r="14" spans="1:14" x14ac:dyDescent="0.25">
      <c r="A14" s="1"/>
      <c r="B14" s="1"/>
      <c r="C14" s="1"/>
      <c r="D14" s="1"/>
      <c r="E14" s="1"/>
      <c r="F14" s="1"/>
    </row>
    <row r="15" spans="1:14" x14ac:dyDescent="0.25">
      <c r="A15" s="1"/>
      <c r="B15" s="1"/>
      <c r="C15" s="1"/>
      <c r="D15" s="1"/>
      <c r="E15" s="1"/>
      <c r="F15" s="1"/>
    </row>
    <row r="18" spans="2:6" x14ac:dyDescent="0.25">
      <c r="B18" s="15" t="s">
        <v>547</v>
      </c>
      <c r="C18" s="15" t="s">
        <v>548</v>
      </c>
      <c r="D18" s="15" t="s">
        <v>549</v>
      </c>
      <c r="E18" s="15" t="s">
        <v>550</v>
      </c>
      <c r="F18" s="15" t="s">
        <v>551</v>
      </c>
    </row>
    <row r="19" spans="2:6" x14ac:dyDescent="0.25">
      <c r="B19" s="16" t="s">
        <v>14</v>
      </c>
      <c r="C19" s="16">
        <f ca="1">COUNTIF(INDIRECT("'"&amp;$B19&amp;"'!L:L"),"Pass")</f>
        <v>23</v>
      </c>
      <c r="D19" s="16">
        <f ca="1">COUNTIF(INDIRECT("'"&amp;$B19&amp;"'!L:L"),"Fail")</f>
        <v>0</v>
      </c>
      <c r="E19" s="16">
        <f ca="1">C19+D19</f>
        <v>23</v>
      </c>
      <c r="F19" s="22">
        <f ca="1">IF(E19=0,"-",C19/E19)</f>
        <v>1</v>
      </c>
    </row>
    <row r="20" spans="2:6" x14ac:dyDescent="0.25">
      <c r="B20" s="16" t="s">
        <v>552</v>
      </c>
      <c r="C20" s="16">
        <f t="shared" ref="C20:C29" ca="1" si="0">COUNTIF(INDIRECT("'"&amp;$B20&amp;"'!L:L"),"Pass")</f>
        <v>10</v>
      </c>
      <c r="D20" s="16">
        <f t="shared" ref="D20:D29" ca="1" si="1">COUNTIF(INDIRECT("'"&amp;$B20&amp;"'!L:L"),"Fail")</f>
        <v>0</v>
      </c>
      <c r="E20" s="16">
        <f t="shared" ref="E20:E29" ca="1" si="2">C20+D20</f>
        <v>10</v>
      </c>
      <c r="F20" s="22">
        <f t="shared" ref="F20:F29" ca="1" si="3">IF(E20=0,"-",C20/E20)</f>
        <v>1</v>
      </c>
    </row>
    <row r="21" spans="2:6" x14ac:dyDescent="0.25">
      <c r="B21" s="16" t="s">
        <v>129</v>
      </c>
      <c r="C21" s="16">
        <f t="shared" ca="1" si="0"/>
        <v>11</v>
      </c>
      <c r="D21" s="16">
        <f t="shared" ca="1" si="1"/>
        <v>0</v>
      </c>
      <c r="E21" s="16">
        <f t="shared" ca="1" si="2"/>
        <v>11</v>
      </c>
      <c r="F21" s="22">
        <f t="shared" ca="1" si="3"/>
        <v>1</v>
      </c>
    </row>
    <row r="22" spans="2:6" x14ac:dyDescent="0.25">
      <c r="B22" s="16" t="s">
        <v>152</v>
      </c>
      <c r="C22" s="16">
        <f t="shared" ca="1" si="0"/>
        <v>10</v>
      </c>
      <c r="D22" s="16">
        <f t="shared" ca="1" si="1"/>
        <v>0</v>
      </c>
      <c r="E22" s="16">
        <f t="shared" ca="1" si="2"/>
        <v>10</v>
      </c>
      <c r="F22" s="22">
        <f t="shared" ca="1" si="3"/>
        <v>1</v>
      </c>
    </row>
    <row r="23" spans="2:6" x14ac:dyDescent="0.25">
      <c r="B23" s="16" t="s">
        <v>184</v>
      </c>
      <c r="C23" s="16">
        <f t="shared" ca="1" si="0"/>
        <v>9</v>
      </c>
      <c r="D23" s="16">
        <f t="shared" ca="1" si="1"/>
        <v>0</v>
      </c>
      <c r="E23" s="16">
        <f t="shared" ca="1" si="2"/>
        <v>9</v>
      </c>
      <c r="F23" s="22">
        <f t="shared" ca="1" si="3"/>
        <v>1</v>
      </c>
    </row>
    <row r="24" spans="2:6" x14ac:dyDescent="0.25">
      <c r="B24" s="16" t="s">
        <v>553</v>
      </c>
      <c r="C24" s="16">
        <f t="shared" ca="1" si="0"/>
        <v>10</v>
      </c>
      <c r="D24" s="16">
        <f t="shared" ca="1" si="1"/>
        <v>0</v>
      </c>
      <c r="E24" s="16">
        <f t="shared" ca="1" si="2"/>
        <v>10</v>
      </c>
      <c r="F24" s="22">
        <f t="shared" ca="1" si="3"/>
        <v>1</v>
      </c>
    </row>
    <row r="25" spans="2:6" x14ac:dyDescent="0.25">
      <c r="B25" s="16" t="s">
        <v>561</v>
      </c>
      <c r="C25" s="16">
        <f t="shared" ca="1" si="0"/>
        <v>9</v>
      </c>
      <c r="D25" s="16">
        <f t="shared" ca="1" si="1"/>
        <v>0</v>
      </c>
      <c r="E25" s="16">
        <f t="shared" ca="1" si="2"/>
        <v>9</v>
      </c>
      <c r="F25" s="22">
        <f t="shared" ca="1" si="3"/>
        <v>1</v>
      </c>
    </row>
    <row r="26" spans="2:6" x14ac:dyDescent="0.25">
      <c r="B26" s="16" t="s">
        <v>554</v>
      </c>
      <c r="C26" s="16">
        <f t="shared" ca="1" si="0"/>
        <v>10</v>
      </c>
      <c r="D26" s="16">
        <f t="shared" ca="1" si="1"/>
        <v>0</v>
      </c>
      <c r="E26" s="16">
        <f t="shared" ca="1" si="2"/>
        <v>10</v>
      </c>
      <c r="F26" s="22">
        <f t="shared" ca="1" si="3"/>
        <v>1</v>
      </c>
    </row>
    <row r="27" spans="2:6" x14ac:dyDescent="0.25">
      <c r="B27" s="16" t="s">
        <v>555</v>
      </c>
      <c r="C27" s="16">
        <f t="shared" ca="1" si="0"/>
        <v>10</v>
      </c>
      <c r="D27" s="16">
        <f t="shared" ca="1" si="1"/>
        <v>0</v>
      </c>
      <c r="E27" s="16">
        <f t="shared" ca="1" si="2"/>
        <v>10</v>
      </c>
      <c r="F27" s="22">
        <f t="shared" ca="1" si="3"/>
        <v>1</v>
      </c>
    </row>
    <row r="28" spans="2:6" x14ac:dyDescent="0.25">
      <c r="B28" s="16" t="s">
        <v>556</v>
      </c>
      <c r="C28" s="16">
        <f t="shared" ca="1" si="0"/>
        <v>11</v>
      </c>
      <c r="D28" s="16">
        <f t="shared" ca="1" si="1"/>
        <v>0</v>
      </c>
      <c r="E28" s="16">
        <f t="shared" ca="1" si="2"/>
        <v>11</v>
      </c>
      <c r="F28" s="22">
        <f t="shared" ca="1" si="3"/>
        <v>1</v>
      </c>
    </row>
    <row r="29" spans="2:6" x14ac:dyDescent="0.25">
      <c r="B29" s="16" t="s">
        <v>557</v>
      </c>
      <c r="C29" s="16">
        <f t="shared" ca="1" si="0"/>
        <v>26</v>
      </c>
      <c r="D29" s="16">
        <f t="shared" ca="1" si="1"/>
        <v>0</v>
      </c>
      <c r="E29" s="16">
        <f t="shared" ca="1" si="2"/>
        <v>26</v>
      </c>
      <c r="F29" s="22">
        <f t="shared" ca="1" si="3"/>
        <v>1</v>
      </c>
    </row>
    <row r="30" spans="2:6" x14ac:dyDescent="0.25">
      <c r="B30" s="1"/>
      <c r="C30" s="1"/>
      <c r="D30" s="1"/>
      <c r="E30" s="1"/>
      <c r="F30" s="1"/>
    </row>
    <row r="31" spans="2:6" x14ac:dyDescent="0.25">
      <c r="B31" s="1"/>
      <c r="C31" s="1"/>
      <c r="D31" s="1"/>
      <c r="E31" s="1"/>
      <c r="F31" s="1"/>
    </row>
    <row r="32" spans="2:6" x14ac:dyDescent="0.25">
      <c r="B32" s="1"/>
      <c r="C32" s="1"/>
      <c r="D32" s="1"/>
      <c r="E32" s="1"/>
      <c r="F32" s="1"/>
    </row>
    <row r="33" spans="2:6" x14ac:dyDescent="0.25">
      <c r="B33" s="1"/>
      <c r="C33" s="1"/>
      <c r="D33" s="1"/>
      <c r="E33" s="1"/>
      <c r="F33" s="1"/>
    </row>
    <row r="34" spans="2:6" x14ac:dyDescent="0.25">
      <c r="B34" s="1"/>
      <c r="C34" s="1"/>
      <c r="D34" s="1"/>
      <c r="E34" s="1"/>
      <c r="F34" s="1"/>
    </row>
    <row r="35" spans="2:6" x14ac:dyDescent="0.25">
      <c r="B35" s="16" t="s">
        <v>550</v>
      </c>
      <c r="C35" s="16">
        <f ca="1">SUM(C19:C34)</f>
        <v>139</v>
      </c>
      <c r="D35" s="16">
        <f ca="1">SUM(D19:D34)</f>
        <v>0</v>
      </c>
      <c r="E35" s="16">
        <f ca="1">SUM(E19:E34)</f>
        <v>139</v>
      </c>
      <c r="F35" s="1"/>
    </row>
  </sheetData>
  <mergeCells count="3">
    <mergeCell ref="B1:B2"/>
    <mergeCell ref="D2:G4"/>
    <mergeCell ref="D5:G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opLeftCell="A4" workbookViewId="0">
      <selection activeCell="H15" sqref="A13:H15"/>
    </sheetView>
  </sheetViews>
  <sheetFormatPr defaultRowHeight="15" x14ac:dyDescent="0.25"/>
  <cols>
    <col min="1" max="1" width="16" bestFit="1" customWidth="1"/>
    <col min="2" max="2" width="16.7109375" bestFit="1" customWidth="1"/>
    <col min="3" max="3" width="134.28515625" bestFit="1" customWidth="1"/>
    <col min="4" max="4" width="17.42578125" customWidth="1"/>
    <col min="5" max="5" width="18.7109375" bestFit="1" customWidth="1"/>
    <col min="6" max="6" width="60" bestFit="1" customWidth="1"/>
    <col min="7" max="7" width="17" customWidth="1"/>
    <col min="8" max="8" width="75" bestFit="1" customWidth="1"/>
    <col min="9" max="9" width="57.5703125" bestFit="1" customWidth="1"/>
    <col min="10" max="10" width="94.85546875" bestFit="1" customWidth="1"/>
    <col min="11" max="11" width="13.42578125" customWidth="1"/>
    <col min="12" max="12" width="16.28515625" bestFit="1" customWidth="1"/>
    <col min="13" max="13" width="59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22.5" customHeight="1" x14ac:dyDescent="0.25">
      <c r="A2" s="1" t="s">
        <v>13</v>
      </c>
      <c r="B2" s="1" t="s">
        <v>14</v>
      </c>
      <c r="C2" s="1" t="s">
        <v>15</v>
      </c>
      <c r="D2" s="1" t="s">
        <v>497</v>
      </c>
      <c r="E2" s="4">
        <v>45916</v>
      </c>
      <c r="F2" s="1" t="s">
        <v>469</v>
      </c>
      <c r="G2" s="1" t="s">
        <v>16</v>
      </c>
      <c r="H2" s="1" t="s">
        <v>475</v>
      </c>
      <c r="I2" s="12" t="s">
        <v>486</v>
      </c>
      <c r="J2" s="1" t="s">
        <v>17</v>
      </c>
      <c r="K2" s="1" t="s">
        <v>18</v>
      </c>
      <c r="L2" s="1" t="s">
        <v>19</v>
      </c>
      <c r="M2" s="23" t="s">
        <v>20</v>
      </c>
    </row>
    <row r="3" spans="1:13" x14ac:dyDescent="0.25">
      <c r="A3" s="1" t="s">
        <v>21</v>
      </c>
      <c r="B3" s="1" t="s">
        <v>14</v>
      </c>
      <c r="C3" s="1" t="s">
        <v>22</v>
      </c>
      <c r="D3" s="1" t="s">
        <v>497</v>
      </c>
      <c r="E3" s="4">
        <v>45916</v>
      </c>
      <c r="F3" s="1" t="s">
        <v>26</v>
      </c>
      <c r="G3" s="1" t="s">
        <v>16</v>
      </c>
      <c r="H3" s="1" t="s">
        <v>476</v>
      </c>
      <c r="I3" s="1" t="s">
        <v>487</v>
      </c>
      <c r="J3" s="1" t="s">
        <v>23</v>
      </c>
      <c r="K3" s="1" t="s">
        <v>18</v>
      </c>
      <c r="L3" s="1" t="s">
        <v>19</v>
      </c>
      <c r="M3" s="23" t="s">
        <v>20</v>
      </c>
    </row>
    <row r="4" spans="1:13" x14ac:dyDescent="0.25">
      <c r="A4" s="1" t="s">
        <v>24</v>
      </c>
      <c r="B4" s="1" t="s">
        <v>14</v>
      </c>
      <c r="C4" s="1" t="s">
        <v>25</v>
      </c>
      <c r="D4" s="1" t="s">
        <v>497</v>
      </c>
      <c r="E4" s="4">
        <v>45916</v>
      </c>
      <c r="F4" s="1" t="s">
        <v>30</v>
      </c>
      <c r="G4" s="1" t="s">
        <v>16</v>
      </c>
      <c r="H4" s="1" t="s">
        <v>477</v>
      </c>
      <c r="I4" s="1" t="s">
        <v>487</v>
      </c>
      <c r="J4" s="1" t="s">
        <v>27</v>
      </c>
      <c r="K4" s="1" t="s">
        <v>18</v>
      </c>
      <c r="L4" s="1" t="s">
        <v>19</v>
      </c>
      <c r="M4" s="23" t="s">
        <v>20</v>
      </c>
    </row>
    <row r="5" spans="1:13" x14ac:dyDescent="0.25">
      <c r="A5" s="1" t="s">
        <v>28</v>
      </c>
      <c r="B5" s="1" t="s">
        <v>14</v>
      </c>
      <c r="C5" s="1" t="s">
        <v>29</v>
      </c>
      <c r="D5" s="1" t="s">
        <v>497</v>
      </c>
      <c r="E5" s="4">
        <v>45916</v>
      </c>
      <c r="F5" s="1" t="s">
        <v>34</v>
      </c>
      <c r="G5" s="1" t="s">
        <v>16</v>
      </c>
      <c r="H5" s="1" t="s">
        <v>478</v>
      </c>
      <c r="I5" s="1" t="s">
        <v>487</v>
      </c>
      <c r="J5" s="1" t="s">
        <v>31</v>
      </c>
      <c r="K5" s="1" t="s">
        <v>18</v>
      </c>
      <c r="L5" s="1" t="s">
        <v>19</v>
      </c>
      <c r="M5" s="23" t="s">
        <v>20</v>
      </c>
    </row>
    <row r="6" spans="1:13" x14ac:dyDescent="0.25">
      <c r="A6" s="1" t="s">
        <v>32</v>
      </c>
      <c r="B6" s="1" t="s">
        <v>14</v>
      </c>
      <c r="C6" s="1" t="s">
        <v>33</v>
      </c>
      <c r="D6" s="1" t="s">
        <v>497</v>
      </c>
      <c r="E6" s="4">
        <v>45916</v>
      </c>
      <c r="F6" s="1" t="s">
        <v>38</v>
      </c>
      <c r="G6" s="1" t="s">
        <v>16</v>
      </c>
      <c r="H6" s="1" t="s">
        <v>479</v>
      </c>
      <c r="I6" s="1" t="s">
        <v>487</v>
      </c>
      <c r="J6" s="1" t="s">
        <v>35</v>
      </c>
      <c r="K6" s="1" t="s">
        <v>18</v>
      </c>
      <c r="L6" s="1" t="s">
        <v>19</v>
      </c>
      <c r="M6" s="23" t="s">
        <v>20</v>
      </c>
    </row>
    <row r="7" spans="1:13" x14ac:dyDescent="0.25">
      <c r="A7" s="1" t="s">
        <v>36</v>
      </c>
      <c r="B7" s="1" t="s">
        <v>14</v>
      </c>
      <c r="C7" s="1" t="s">
        <v>37</v>
      </c>
      <c r="D7" s="1" t="s">
        <v>497</v>
      </c>
      <c r="E7" s="4">
        <v>45916</v>
      </c>
      <c r="F7" s="1" t="s">
        <v>43</v>
      </c>
      <c r="G7" s="1" t="s">
        <v>16</v>
      </c>
      <c r="H7" s="1" t="s">
        <v>39</v>
      </c>
      <c r="I7" s="1" t="s">
        <v>487</v>
      </c>
      <c r="J7" s="1" t="s">
        <v>40</v>
      </c>
      <c r="K7" s="1" t="s">
        <v>18</v>
      </c>
      <c r="L7" s="1" t="s">
        <v>19</v>
      </c>
      <c r="M7" s="23" t="s">
        <v>20</v>
      </c>
    </row>
    <row r="8" spans="1:13" x14ac:dyDescent="0.25">
      <c r="A8" s="1" t="s">
        <v>41</v>
      </c>
      <c r="B8" s="1" t="s">
        <v>14</v>
      </c>
      <c r="C8" s="1" t="s">
        <v>42</v>
      </c>
      <c r="D8" s="1" t="s">
        <v>497</v>
      </c>
      <c r="E8" s="4">
        <v>45916</v>
      </c>
      <c r="F8" s="1" t="s">
        <v>470</v>
      </c>
      <c r="G8" s="1" t="s">
        <v>16</v>
      </c>
      <c r="H8" s="1" t="s">
        <v>480</v>
      </c>
      <c r="I8" s="1" t="s">
        <v>487</v>
      </c>
      <c r="J8" s="1" t="s">
        <v>44</v>
      </c>
      <c r="K8" s="1" t="s">
        <v>18</v>
      </c>
      <c r="L8" s="1" t="s">
        <v>19</v>
      </c>
      <c r="M8" s="23" t="s">
        <v>20</v>
      </c>
    </row>
    <row r="9" spans="1:13" x14ac:dyDescent="0.25">
      <c r="A9" s="1" t="s">
        <v>45</v>
      </c>
      <c r="B9" s="1" t="s">
        <v>14</v>
      </c>
      <c r="C9" s="1" t="s">
        <v>46</v>
      </c>
      <c r="D9" s="1" t="s">
        <v>497</v>
      </c>
      <c r="E9" s="4">
        <v>45916</v>
      </c>
      <c r="F9" s="1" t="s">
        <v>471</v>
      </c>
      <c r="G9" s="1" t="s">
        <v>16</v>
      </c>
      <c r="H9" s="1" t="s">
        <v>47</v>
      </c>
      <c r="I9" s="1" t="s">
        <v>487</v>
      </c>
      <c r="J9" s="1" t="s">
        <v>48</v>
      </c>
      <c r="K9" s="1" t="s">
        <v>18</v>
      </c>
      <c r="L9" s="1" t="s">
        <v>19</v>
      </c>
      <c r="M9" s="23" t="s">
        <v>20</v>
      </c>
    </row>
    <row r="10" spans="1:13" x14ac:dyDescent="0.25">
      <c r="A10" s="1" t="s">
        <v>49</v>
      </c>
      <c r="B10" s="1" t="s">
        <v>14</v>
      </c>
      <c r="C10" s="1" t="s">
        <v>50</v>
      </c>
      <c r="D10" s="1" t="s">
        <v>497</v>
      </c>
      <c r="E10" s="4">
        <v>45916</v>
      </c>
      <c r="F10" s="1" t="s">
        <v>472</v>
      </c>
      <c r="G10" s="1" t="s">
        <v>16</v>
      </c>
      <c r="H10" s="1" t="s">
        <v>481</v>
      </c>
      <c r="I10" s="13" t="s">
        <v>488</v>
      </c>
      <c r="J10" s="1" t="s">
        <v>51</v>
      </c>
      <c r="K10" s="1" t="s">
        <v>18</v>
      </c>
      <c r="L10" s="1" t="s">
        <v>19</v>
      </c>
      <c r="M10" s="23" t="s">
        <v>20</v>
      </c>
    </row>
    <row r="11" spans="1:13" x14ac:dyDescent="0.25">
      <c r="A11" s="1" t="s">
        <v>52</v>
      </c>
      <c r="B11" s="1" t="s">
        <v>14</v>
      </c>
      <c r="C11" s="1" t="s">
        <v>58</v>
      </c>
      <c r="D11" s="1" t="s">
        <v>497</v>
      </c>
      <c r="E11" s="4">
        <v>45916</v>
      </c>
      <c r="F11" s="1" t="s">
        <v>473</v>
      </c>
      <c r="G11" s="1" t="s">
        <v>16</v>
      </c>
      <c r="H11" s="1" t="s">
        <v>53</v>
      </c>
      <c r="I11" s="1" t="s">
        <v>16</v>
      </c>
      <c r="J11" s="1" t="s">
        <v>54</v>
      </c>
      <c r="K11" s="1" t="s">
        <v>18</v>
      </c>
      <c r="L11" s="13" t="s">
        <v>19</v>
      </c>
      <c r="M11" s="23" t="s">
        <v>20</v>
      </c>
    </row>
    <row r="12" spans="1:13" x14ac:dyDescent="0.25">
      <c r="A12" s="1" t="s">
        <v>55</v>
      </c>
      <c r="B12" s="1" t="s">
        <v>14</v>
      </c>
      <c r="C12" s="1" t="s">
        <v>61</v>
      </c>
      <c r="D12" s="1" t="s">
        <v>497</v>
      </c>
      <c r="E12" s="4">
        <v>45916</v>
      </c>
      <c r="F12" s="1" t="s">
        <v>474</v>
      </c>
      <c r="G12" s="1" t="s">
        <v>16</v>
      </c>
      <c r="H12" s="1" t="s">
        <v>16</v>
      </c>
      <c r="I12" s="1" t="s">
        <v>16</v>
      </c>
      <c r="J12" s="1" t="s">
        <v>56</v>
      </c>
      <c r="K12" s="1" t="s">
        <v>18</v>
      </c>
      <c r="L12" s="1" t="s">
        <v>19</v>
      </c>
      <c r="M12" s="23" t="s">
        <v>20</v>
      </c>
    </row>
    <row r="13" spans="1:13" x14ac:dyDescent="0.25">
      <c r="A13" s="1" t="s">
        <v>57</v>
      </c>
      <c r="B13" s="1" t="s">
        <v>14</v>
      </c>
      <c r="C13" s="1" t="s">
        <v>504</v>
      </c>
      <c r="D13" s="1" t="s">
        <v>497</v>
      </c>
      <c r="E13" s="4">
        <v>45916</v>
      </c>
      <c r="F13" s="1" t="s">
        <v>16</v>
      </c>
      <c r="G13" s="1" t="s">
        <v>16</v>
      </c>
      <c r="H13" s="1" t="s">
        <v>59</v>
      </c>
      <c r="I13" s="1" t="s">
        <v>578</v>
      </c>
      <c r="J13" s="1" t="s">
        <v>572</v>
      </c>
      <c r="K13" s="1" t="s">
        <v>18</v>
      </c>
      <c r="L13" s="1" t="s">
        <v>19</v>
      </c>
      <c r="M13" s="23" t="s">
        <v>573</v>
      </c>
    </row>
    <row r="14" spans="1:13" x14ac:dyDescent="0.25">
      <c r="A14" s="1" t="s">
        <v>60</v>
      </c>
      <c r="B14" s="1" t="s">
        <v>14</v>
      </c>
      <c r="C14" s="1" t="s">
        <v>579</v>
      </c>
      <c r="D14" s="1" t="s">
        <v>497</v>
      </c>
      <c r="E14" s="4">
        <v>45916</v>
      </c>
      <c r="F14" s="1" t="s">
        <v>16</v>
      </c>
      <c r="G14" s="1" t="s">
        <v>16</v>
      </c>
      <c r="H14" s="1" t="s">
        <v>62</v>
      </c>
      <c r="I14" s="14" t="s">
        <v>580</v>
      </c>
      <c r="J14" s="1" t="s">
        <v>63</v>
      </c>
      <c r="K14" s="1" t="s">
        <v>18</v>
      </c>
      <c r="L14" s="1" t="s">
        <v>19</v>
      </c>
      <c r="M14" s="23" t="s">
        <v>20</v>
      </c>
    </row>
    <row r="15" spans="1:13" x14ac:dyDescent="0.25">
      <c r="A15" s="1" t="s">
        <v>64</v>
      </c>
      <c r="B15" s="1" t="s">
        <v>14</v>
      </c>
      <c r="C15" s="1" t="s">
        <v>505</v>
      </c>
      <c r="D15" s="1" t="s">
        <v>497</v>
      </c>
      <c r="E15" s="4">
        <v>45916</v>
      </c>
      <c r="F15" s="1" t="s">
        <v>16</v>
      </c>
      <c r="G15" s="1" t="s">
        <v>16</v>
      </c>
      <c r="H15" s="1" t="s">
        <v>65</v>
      </c>
      <c r="I15" s="1" t="s">
        <v>489</v>
      </c>
      <c r="J15" s="1" t="s">
        <v>66</v>
      </c>
      <c r="K15" s="1" t="s">
        <v>18</v>
      </c>
      <c r="L15" s="1" t="s">
        <v>19</v>
      </c>
      <c r="M15" s="23" t="s">
        <v>20</v>
      </c>
    </row>
    <row r="16" spans="1:13" x14ac:dyDescent="0.25">
      <c r="A16" s="1" t="s">
        <v>67</v>
      </c>
      <c r="B16" s="1" t="s">
        <v>14</v>
      </c>
      <c r="C16" s="13" t="s">
        <v>581</v>
      </c>
      <c r="D16" s="1" t="s">
        <v>497</v>
      </c>
      <c r="E16" s="4">
        <v>45916</v>
      </c>
      <c r="F16" s="1" t="s">
        <v>16</v>
      </c>
      <c r="G16" s="1" t="s">
        <v>16</v>
      </c>
      <c r="H16" s="1" t="s">
        <v>71</v>
      </c>
      <c r="I16" s="1" t="s">
        <v>16</v>
      </c>
      <c r="J16" s="1" t="s">
        <v>68</v>
      </c>
      <c r="K16" s="1" t="s">
        <v>18</v>
      </c>
      <c r="L16" s="1" t="s">
        <v>19</v>
      </c>
      <c r="M16" s="23" t="s">
        <v>20</v>
      </c>
    </row>
    <row r="17" spans="1:13" x14ac:dyDescent="0.25">
      <c r="A17" s="1" t="s">
        <v>69</v>
      </c>
      <c r="B17" s="1" t="s">
        <v>14</v>
      </c>
      <c r="C17" s="1" t="s">
        <v>70</v>
      </c>
      <c r="D17" s="1" t="s">
        <v>497</v>
      </c>
      <c r="E17" s="4">
        <v>45916</v>
      </c>
      <c r="F17" s="1" t="s">
        <v>16</v>
      </c>
      <c r="G17" s="1" t="s">
        <v>16</v>
      </c>
      <c r="H17" s="1" t="s">
        <v>75</v>
      </c>
      <c r="I17" s="1" t="s">
        <v>582</v>
      </c>
      <c r="J17" s="1" t="s">
        <v>72</v>
      </c>
      <c r="K17" s="1" t="s">
        <v>18</v>
      </c>
      <c r="L17" s="1" t="s">
        <v>19</v>
      </c>
      <c r="M17" s="23" t="s">
        <v>20</v>
      </c>
    </row>
    <row r="18" spans="1:13" x14ac:dyDescent="0.25">
      <c r="A18" s="1" t="s">
        <v>73</v>
      </c>
      <c r="B18" s="1" t="s">
        <v>14</v>
      </c>
      <c r="C18" s="1" t="s">
        <v>74</v>
      </c>
      <c r="D18" s="1" t="s">
        <v>497</v>
      </c>
      <c r="E18" s="4">
        <v>45916</v>
      </c>
      <c r="F18" s="1" t="s">
        <v>16</v>
      </c>
      <c r="G18" s="1" t="s">
        <v>16</v>
      </c>
      <c r="H18" s="11" t="s">
        <v>78</v>
      </c>
      <c r="I18" s="1" t="s">
        <v>490</v>
      </c>
      <c r="J18" s="1" t="s">
        <v>76</v>
      </c>
      <c r="K18" s="1" t="s">
        <v>18</v>
      </c>
      <c r="L18" s="13" t="s">
        <v>19</v>
      </c>
      <c r="M18" s="23" t="s">
        <v>20</v>
      </c>
    </row>
    <row r="19" spans="1:13" x14ac:dyDescent="0.25">
      <c r="A19" s="1" t="s">
        <v>77</v>
      </c>
      <c r="B19" s="1" t="s">
        <v>14</v>
      </c>
      <c r="C19" s="1" t="s">
        <v>468</v>
      </c>
      <c r="D19" s="1" t="s">
        <v>497</v>
      </c>
      <c r="E19" s="4">
        <v>45916</v>
      </c>
      <c r="F19" s="1" t="s">
        <v>16</v>
      </c>
      <c r="G19" s="1" t="s">
        <v>16</v>
      </c>
      <c r="H19" s="3" t="s">
        <v>482</v>
      </c>
      <c r="I19" s="1" t="s">
        <v>491</v>
      </c>
      <c r="J19" s="1" t="s">
        <v>79</v>
      </c>
      <c r="K19" s="1" t="s">
        <v>18</v>
      </c>
      <c r="L19" s="13" t="s">
        <v>19</v>
      </c>
      <c r="M19" s="23" t="s">
        <v>20</v>
      </c>
    </row>
    <row r="20" spans="1:13" x14ac:dyDescent="0.25">
      <c r="A20" s="1" t="s">
        <v>80</v>
      </c>
      <c r="B20" s="1" t="s">
        <v>14</v>
      </c>
      <c r="C20" s="1" t="s">
        <v>558</v>
      </c>
      <c r="D20" s="1" t="s">
        <v>497</v>
      </c>
      <c r="E20" s="4">
        <v>45916</v>
      </c>
      <c r="F20" s="1" t="s">
        <v>16</v>
      </c>
      <c r="G20" s="1" t="s">
        <v>16</v>
      </c>
      <c r="H20" s="3" t="s">
        <v>483</v>
      </c>
      <c r="I20" s="1" t="s">
        <v>492</v>
      </c>
      <c r="J20" s="1" t="s">
        <v>81</v>
      </c>
      <c r="K20" s="1" t="s">
        <v>18</v>
      </c>
      <c r="L20" s="1" t="s">
        <v>19</v>
      </c>
      <c r="M20" s="23" t="s">
        <v>20</v>
      </c>
    </row>
    <row r="21" spans="1:13" x14ac:dyDescent="0.25">
      <c r="A21" s="1" t="s">
        <v>82</v>
      </c>
      <c r="B21" s="1" t="s">
        <v>14</v>
      </c>
      <c r="C21" s="1" t="s">
        <v>559</v>
      </c>
      <c r="D21" s="1" t="s">
        <v>497</v>
      </c>
      <c r="E21" s="4">
        <v>45916</v>
      </c>
      <c r="F21" s="1" t="s">
        <v>16</v>
      </c>
      <c r="G21" s="1" t="s">
        <v>16</v>
      </c>
      <c r="H21" s="3" t="s">
        <v>484</v>
      </c>
      <c r="I21" s="1" t="s">
        <v>493</v>
      </c>
      <c r="J21" s="1" t="s">
        <v>83</v>
      </c>
      <c r="K21" s="1" t="s">
        <v>18</v>
      </c>
      <c r="L21" s="1" t="s">
        <v>19</v>
      </c>
      <c r="M21" s="23" t="s">
        <v>20</v>
      </c>
    </row>
    <row r="22" spans="1:13" x14ac:dyDescent="0.25">
      <c r="A22" s="1" t="s">
        <v>498</v>
      </c>
      <c r="B22" s="1" t="s">
        <v>14</v>
      </c>
      <c r="C22" s="1" t="s">
        <v>16</v>
      </c>
      <c r="D22" s="1" t="s">
        <v>497</v>
      </c>
      <c r="E22" s="4">
        <v>45916</v>
      </c>
      <c r="F22" s="1" t="s">
        <v>16</v>
      </c>
      <c r="G22" s="1" t="s">
        <v>16</v>
      </c>
      <c r="H22" s="12" t="s">
        <v>485</v>
      </c>
      <c r="I22" s="1" t="s">
        <v>494</v>
      </c>
      <c r="J22" s="1" t="s">
        <v>496</v>
      </c>
      <c r="K22" s="1" t="s">
        <v>18</v>
      </c>
      <c r="L22" s="1" t="s">
        <v>19</v>
      </c>
      <c r="M22" s="23" t="s">
        <v>20</v>
      </c>
    </row>
    <row r="23" spans="1:13" x14ac:dyDescent="0.25">
      <c r="A23" s="1" t="s">
        <v>499</v>
      </c>
      <c r="B23" s="1" t="s">
        <v>14</v>
      </c>
      <c r="C23" s="1" t="s">
        <v>16</v>
      </c>
      <c r="D23" s="1" t="s">
        <v>497</v>
      </c>
      <c r="E23" s="4">
        <v>45916</v>
      </c>
      <c r="F23" s="1" t="s">
        <v>16</v>
      </c>
      <c r="G23" s="1" t="s">
        <v>16</v>
      </c>
      <c r="H23" s="12" t="s">
        <v>502</v>
      </c>
      <c r="I23" s="13" t="s">
        <v>495</v>
      </c>
      <c r="J23" s="1" t="s">
        <v>16</v>
      </c>
      <c r="K23" s="1" t="s">
        <v>18</v>
      </c>
      <c r="L23" s="1" t="s">
        <v>19</v>
      </c>
      <c r="M23" s="23" t="s">
        <v>20</v>
      </c>
    </row>
    <row r="24" spans="1:13" x14ac:dyDescent="0.25">
      <c r="A24" s="1" t="s">
        <v>500</v>
      </c>
      <c r="B24" s="1" t="s">
        <v>14</v>
      </c>
      <c r="C24" s="1" t="s">
        <v>16</v>
      </c>
      <c r="D24" s="1" t="s">
        <v>497</v>
      </c>
      <c r="E24" s="4">
        <v>45916</v>
      </c>
      <c r="F24" s="1" t="s">
        <v>16</v>
      </c>
      <c r="G24" s="1" t="s">
        <v>16</v>
      </c>
      <c r="H24" s="12" t="s">
        <v>503</v>
      </c>
      <c r="I24" s="13" t="s">
        <v>501</v>
      </c>
      <c r="J24" s="1" t="s">
        <v>16</v>
      </c>
      <c r="K24" s="1" t="s">
        <v>18</v>
      </c>
      <c r="L24" s="1" t="s">
        <v>19</v>
      </c>
      <c r="M24" s="23" t="s">
        <v>20</v>
      </c>
    </row>
  </sheetData>
  <phoneticPr fontId="2" type="noConversion"/>
  <dataValidations count="1">
    <dataValidation type="list" allowBlank="1" showInputMessage="1" showErrorMessage="1" sqref="L2:L24" xr:uid="{68212A2F-046E-4081-9317-2D19488C7CBA}">
      <formula1>"Pass,Fail,Invalid"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workbookViewId="0">
      <selection activeCell="C8" sqref="C8"/>
    </sheetView>
  </sheetViews>
  <sheetFormatPr defaultRowHeight="15" x14ac:dyDescent="0.25"/>
  <cols>
    <col min="1" max="1" width="16" bestFit="1" customWidth="1"/>
    <col min="2" max="2" width="16.7109375" bestFit="1" customWidth="1"/>
    <col min="3" max="3" width="56.140625" bestFit="1" customWidth="1"/>
    <col min="4" max="4" width="12.28515625" bestFit="1" customWidth="1"/>
    <col min="5" max="5" width="18.7109375" bestFit="1" customWidth="1"/>
    <col min="6" max="6" width="45.7109375" bestFit="1" customWidth="1"/>
    <col min="7" max="7" width="51.28515625" bestFit="1" customWidth="1"/>
    <col min="8" max="8" width="68.42578125" bestFit="1" customWidth="1"/>
    <col min="9" max="9" width="34.85546875" bestFit="1" customWidth="1"/>
    <col min="10" max="10" width="94.85546875" bestFit="1" customWidth="1"/>
    <col min="11" max="11" width="75.7109375" bestFit="1" customWidth="1"/>
    <col min="12" max="12" width="16.28515625" bestFit="1" customWidth="1"/>
    <col min="13" max="13" width="43.4257812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1" t="s">
        <v>84</v>
      </c>
      <c r="B2" s="1" t="s">
        <v>85</v>
      </c>
      <c r="C2" s="1" t="s">
        <v>86</v>
      </c>
      <c r="D2" s="1" t="s">
        <v>497</v>
      </c>
      <c r="E2" s="4">
        <v>45917</v>
      </c>
      <c r="F2" s="1" t="s">
        <v>18</v>
      </c>
      <c r="G2" s="1" t="s">
        <v>87</v>
      </c>
      <c r="H2" s="1" t="s">
        <v>88</v>
      </c>
      <c r="I2" s="1" t="s">
        <v>89</v>
      </c>
      <c r="J2" s="1" t="s">
        <v>90</v>
      </c>
      <c r="K2" s="1" t="s">
        <v>91</v>
      </c>
      <c r="L2" s="1" t="s">
        <v>19</v>
      </c>
      <c r="M2" s="1" t="s">
        <v>92</v>
      </c>
    </row>
    <row r="3" spans="1:13" x14ac:dyDescent="0.25">
      <c r="A3" s="1" t="s">
        <v>93</v>
      </c>
      <c r="B3" s="1" t="s">
        <v>85</v>
      </c>
      <c r="C3" s="1" t="s">
        <v>94</v>
      </c>
      <c r="D3" s="1" t="s">
        <v>497</v>
      </c>
      <c r="E3" s="4">
        <v>45917</v>
      </c>
      <c r="F3" s="1" t="s">
        <v>18</v>
      </c>
      <c r="G3" s="1" t="s">
        <v>87</v>
      </c>
      <c r="H3" s="1" t="s">
        <v>95</v>
      </c>
      <c r="I3" s="1" t="s">
        <v>89</v>
      </c>
      <c r="J3" s="1" t="s">
        <v>96</v>
      </c>
      <c r="K3" s="1" t="s">
        <v>91</v>
      </c>
      <c r="L3" s="1" t="s">
        <v>19</v>
      </c>
      <c r="M3" s="1" t="s">
        <v>92</v>
      </c>
    </row>
    <row r="4" spans="1:13" x14ac:dyDescent="0.25">
      <c r="A4" s="1" t="s">
        <v>97</v>
      </c>
      <c r="B4" s="1" t="s">
        <v>85</v>
      </c>
      <c r="C4" s="1" t="s">
        <v>98</v>
      </c>
      <c r="D4" s="1" t="s">
        <v>497</v>
      </c>
      <c r="E4" s="4">
        <v>45917</v>
      </c>
      <c r="F4" s="1" t="s">
        <v>18</v>
      </c>
      <c r="G4" s="1" t="s">
        <v>87</v>
      </c>
      <c r="H4" s="1" t="s">
        <v>99</v>
      </c>
      <c r="I4" s="1" t="s">
        <v>89</v>
      </c>
      <c r="J4" s="1" t="s">
        <v>90</v>
      </c>
      <c r="K4" s="1" t="s">
        <v>91</v>
      </c>
      <c r="L4" s="1" t="s">
        <v>19</v>
      </c>
      <c r="M4" s="1" t="s">
        <v>92</v>
      </c>
    </row>
    <row r="5" spans="1:13" x14ac:dyDescent="0.25">
      <c r="A5" s="1" t="s">
        <v>100</v>
      </c>
      <c r="B5" s="1" t="s">
        <v>85</v>
      </c>
      <c r="C5" s="1" t="s">
        <v>101</v>
      </c>
      <c r="D5" s="1" t="s">
        <v>497</v>
      </c>
      <c r="E5" s="4">
        <v>45917</v>
      </c>
      <c r="F5" s="1" t="s">
        <v>18</v>
      </c>
      <c r="G5" s="1" t="s">
        <v>87</v>
      </c>
      <c r="H5" s="1" t="s">
        <v>102</v>
      </c>
      <c r="I5" s="1" t="s">
        <v>89</v>
      </c>
      <c r="J5" s="1" t="s">
        <v>103</v>
      </c>
      <c r="K5" s="1" t="s">
        <v>91</v>
      </c>
      <c r="L5" s="1" t="s">
        <v>19</v>
      </c>
      <c r="M5" s="1" t="s">
        <v>92</v>
      </c>
    </row>
    <row r="6" spans="1:13" x14ac:dyDescent="0.25">
      <c r="A6" s="1" t="s">
        <v>104</v>
      </c>
      <c r="B6" s="1" t="s">
        <v>85</v>
      </c>
      <c r="C6" s="1" t="s">
        <v>105</v>
      </c>
      <c r="D6" s="1" t="s">
        <v>497</v>
      </c>
      <c r="E6" s="4">
        <v>45917</v>
      </c>
      <c r="F6" s="1" t="s">
        <v>18</v>
      </c>
      <c r="G6" s="1" t="s">
        <v>87</v>
      </c>
      <c r="H6" s="1" t="s">
        <v>106</v>
      </c>
      <c r="I6" s="1" t="s">
        <v>89</v>
      </c>
      <c r="J6" s="1" t="s">
        <v>107</v>
      </c>
      <c r="K6" s="1" t="s">
        <v>91</v>
      </c>
      <c r="L6" s="1" t="s">
        <v>19</v>
      </c>
      <c r="M6" s="1" t="s">
        <v>92</v>
      </c>
    </row>
    <row r="7" spans="1:13" x14ac:dyDescent="0.25">
      <c r="A7" s="1" t="s">
        <v>108</v>
      </c>
      <c r="B7" s="1" t="s">
        <v>85</v>
      </c>
      <c r="C7" s="1" t="s">
        <v>109</v>
      </c>
      <c r="D7" s="1" t="s">
        <v>497</v>
      </c>
      <c r="E7" s="4">
        <v>45917</v>
      </c>
      <c r="F7" s="1" t="s">
        <v>18</v>
      </c>
      <c r="G7" s="1" t="s">
        <v>87</v>
      </c>
      <c r="H7" s="1" t="s">
        <v>110</v>
      </c>
      <c r="I7" s="1" t="s">
        <v>89</v>
      </c>
      <c r="J7" s="1" t="s">
        <v>111</v>
      </c>
      <c r="K7" s="1" t="s">
        <v>91</v>
      </c>
      <c r="L7" s="1" t="s">
        <v>19</v>
      </c>
      <c r="M7" s="1" t="s">
        <v>92</v>
      </c>
    </row>
    <row r="8" spans="1:13" x14ac:dyDescent="0.25">
      <c r="A8" s="1" t="s">
        <v>112</v>
      </c>
      <c r="B8" s="1" t="s">
        <v>85</v>
      </c>
      <c r="C8" s="1" t="s">
        <v>113</v>
      </c>
      <c r="D8" s="1" t="s">
        <v>497</v>
      </c>
      <c r="E8" s="4">
        <v>45917</v>
      </c>
      <c r="F8" s="1" t="s">
        <v>18</v>
      </c>
      <c r="G8" s="1" t="s">
        <v>87</v>
      </c>
      <c r="H8" s="1" t="s">
        <v>114</v>
      </c>
      <c r="I8" s="1" t="s">
        <v>89</v>
      </c>
      <c r="J8" s="1" t="s">
        <v>115</v>
      </c>
      <c r="K8" s="1" t="s">
        <v>91</v>
      </c>
      <c r="L8" s="1" t="s">
        <v>19</v>
      </c>
      <c r="M8" s="1" t="s">
        <v>92</v>
      </c>
    </row>
    <row r="9" spans="1:13" x14ac:dyDescent="0.25">
      <c r="A9" s="1" t="s">
        <v>116</v>
      </c>
      <c r="B9" s="1" t="s">
        <v>85</v>
      </c>
      <c r="C9" s="1" t="s">
        <v>117</v>
      </c>
      <c r="D9" s="1" t="s">
        <v>497</v>
      </c>
      <c r="E9" s="4">
        <v>45917</v>
      </c>
      <c r="F9" s="1" t="s">
        <v>18</v>
      </c>
      <c r="G9" s="1" t="s">
        <v>87</v>
      </c>
      <c r="H9" s="1" t="s">
        <v>118</v>
      </c>
      <c r="I9" s="1" t="s">
        <v>89</v>
      </c>
      <c r="J9" s="1" t="s">
        <v>119</v>
      </c>
      <c r="K9" s="1" t="s">
        <v>91</v>
      </c>
      <c r="L9" s="1" t="s">
        <v>19</v>
      </c>
      <c r="M9" s="1" t="s">
        <v>92</v>
      </c>
    </row>
    <row r="10" spans="1:13" x14ac:dyDescent="0.25">
      <c r="A10" s="1" t="s">
        <v>120</v>
      </c>
      <c r="B10" s="1" t="s">
        <v>85</v>
      </c>
      <c r="C10" s="1" t="s">
        <v>121</v>
      </c>
      <c r="D10" s="1" t="s">
        <v>497</v>
      </c>
      <c r="E10" s="4">
        <v>45917</v>
      </c>
      <c r="F10" s="1" t="s">
        <v>18</v>
      </c>
      <c r="G10" s="1" t="s">
        <v>87</v>
      </c>
      <c r="H10" s="1" t="s">
        <v>122</v>
      </c>
      <c r="I10" s="1" t="s">
        <v>89</v>
      </c>
      <c r="J10" s="1" t="s">
        <v>123</v>
      </c>
      <c r="K10" s="1" t="s">
        <v>91</v>
      </c>
      <c r="L10" s="1" t="s">
        <v>19</v>
      </c>
      <c r="M10" s="1" t="s">
        <v>92</v>
      </c>
    </row>
    <row r="11" spans="1:13" x14ac:dyDescent="0.25">
      <c r="A11" s="1" t="s">
        <v>124</v>
      </c>
      <c r="B11" s="1" t="s">
        <v>85</v>
      </c>
      <c r="C11" s="1" t="s">
        <v>125</v>
      </c>
      <c r="D11" s="1" t="s">
        <v>497</v>
      </c>
      <c r="E11" s="4">
        <v>45917</v>
      </c>
      <c r="F11" s="1" t="s">
        <v>18</v>
      </c>
      <c r="G11" s="1" t="s">
        <v>87</v>
      </c>
      <c r="H11" s="1" t="s">
        <v>126</v>
      </c>
      <c r="I11" s="1" t="s">
        <v>89</v>
      </c>
      <c r="J11" s="1" t="s">
        <v>127</v>
      </c>
      <c r="K11" s="1" t="s">
        <v>91</v>
      </c>
      <c r="L11" s="1" t="s">
        <v>19</v>
      </c>
      <c r="M11" s="1" t="s">
        <v>92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"/>
  <sheetViews>
    <sheetView workbookViewId="0">
      <selection activeCell="D16" sqref="D16"/>
    </sheetView>
  </sheetViews>
  <sheetFormatPr defaultRowHeight="15" x14ac:dyDescent="0.25"/>
  <cols>
    <col min="1" max="1" width="16" bestFit="1" customWidth="1"/>
    <col min="2" max="2" width="16.7109375" bestFit="1" customWidth="1"/>
    <col min="3" max="3" width="56.140625" bestFit="1" customWidth="1"/>
    <col min="4" max="4" width="14.85546875" customWidth="1"/>
    <col min="5" max="5" width="18.7109375" bestFit="1" customWidth="1"/>
    <col min="6" max="6" width="16" customWidth="1"/>
    <col min="7" max="7" width="35.140625" customWidth="1"/>
    <col min="8" max="8" width="67.7109375" bestFit="1" customWidth="1"/>
    <col min="9" max="9" width="34.85546875" bestFit="1" customWidth="1"/>
    <col min="10" max="10" width="50.140625" customWidth="1"/>
    <col min="11" max="11" width="30.85546875" customWidth="1"/>
    <col min="12" max="12" width="16.28515625" bestFit="1" customWidth="1"/>
    <col min="13" max="13" width="43.4257812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1" t="s">
        <v>128</v>
      </c>
      <c r="B2" s="1" t="s">
        <v>129</v>
      </c>
      <c r="C2" s="1" t="s">
        <v>130</v>
      </c>
      <c r="D2" s="1" t="s">
        <v>583</v>
      </c>
      <c r="E2" s="4">
        <v>45918</v>
      </c>
      <c r="F2" s="1" t="s">
        <v>18</v>
      </c>
      <c r="G2" s="1" t="s">
        <v>87</v>
      </c>
      <c r="H2" s="1" t="s">
        <v>131</v>
      </c>
      <c r="I2" s="1" t="s">
        <v>89</v>
      </c>
      <c r="J2" s="1" t="s">
        <v>132</v>
      </c>
      <c r="K2" s="1" t="s">
        <v>133</v>
      </c>
      <c r="L2" s="1" t="s">
        <v>19</v>
      </c>
      <c r="M2" s="1" t="s">
        <v>92</v>
      </c>
    </row>
    <row r="3" spans="1:13" x14ac:dyDescent="0.25">
      <c r="A3" s="1" t="s">
        <v>134</v>
      </c>
      <c r="B3" s="1" t="s">
        <v>129</v>
      </c>
      <c r="C3" s="1" t="s">
        <v>135</v>
      </c>
      <c r="D3" s="1" t="s">
        <v>583</v>
      </c>
      <c r="E3" s="4">
        <v>45918</v>
      </c>
      <c r="F3" s="1" t="s">
        <v>18</v>
      </c>
      <c r="G3" s="1" t="s">
        <v>87</v>
      </c>
      <c r="H3" s="1" t="s">
        <v>136</v>
      </c>
      <c r="I3" s="1" t="s">
        <v>89</v>
      </c>
      <c r="J3" s="1" t="s">
        <v>137</v>
      </c>
      <c r="K3" s="1" t="s">
        <v>133</v>
      </c>
      <c r="L3" s="1" t="s">
        <v>19</v>
      </c>
      <c r="M3" s="1" t="s">
        <v>92</v>
      </c>
    </row>
    <row r="4" spans="1:13" x14ac:dyDescent="0.25">
      <c r="A4" s="1" t="s">
        <v>138</v>
      </c>
      <c r="B4" s="1" t="s">
        <v>129</v>
      </c>
      <c r="C4" s="1" t="s">
        <v>139</v>
      </c>
      <c r="D4" s="1" t="s">
        <v>583</v>
      </c>
      <c r="E4" s="4">
        <v>45918</v>
      </c>
      <c r="F4" s="1" t="s">
        <v>18</v>
      </c>
      <c r="G4" s="1" t="s">
        <v>87</v>
      </c>
      <c r="H4" s="1" t="s">
        <v>140</v>
      </c>
      <c r="I4" s="1" t="s">
        <v>89</v>
      </c>
      <c r="J4" s="1" t="s">
        <v>137</v>
      </c>
      <c r="K4" s="1" t="s">
        <v>133</v>
      </c>
      <c r="L4" s="1" t="s">
        <v>19</v>
      </c>
      <c r="M4" s="1" t="s">
        <v>92</v>
      </c>
    </row>
    <row r="5" spans="1:13" x14ac:dyDescent="0.25">
      <c r="A5" s="1" t="s">
        <v>141</v>
      </c>
      <c r="B5" s="1" t="s">
        <v>129</v>
      </c>
      <c r="C5" s="1" t="s">
        <v>142</v>
      </c>
      <c r="D5" s="1" t="s">
        <v>583</v>
      </c>
      <c r="E5" s="4">
        <v>45918</v>
      </c>
      <c r="F5" s="1" t="s">
        <v>18</v>
      </c>
      <c r="G5" s="1" t="s">
        <v>87</v>
      </c>
      <c r="H5" s="1" t="s">
        <v>143</v>
      </c>
      <c r="I5" s="1" t="s">
        <v>89</v>
      </c>
      <c r="J5" s="1" t="s">
        <v>137</v>
      </c>
      <c r="K5" s="1" t="s">
        <v>133</v>
      </c>
      <c r="L5" s="1" t="s">
        <v>19</v>
      </c>
      <c r="M5" s="1" t="s">
        <v>92</v>
      </c>
    </row>
    <row r="6" spans="1:13" x14ac:dyDescent="0.25">
      <c r="A6" s="1" t="s">
        <v>144</v>
      </c>
      <c r="B6" s="1" t="s">
        <v>129</v>
      </c>
      <c r="C6" s="1" t="s">
        <v>101</v>
      </c>
      <c r="D6" s="1" t="s">
        <v>583</v>
      </c>
      <c r="E6" s="4">
        <v>45918</v>
      </c>
      <c r="F6" s="1" t="s">
        <v>18</v>
      </c>
      <c r="G6" s="1" t="s">
        <v>87</v>
      </c>
      <c r="H6" s="1" t="s">
        <v>102</v>
      </c>
      <c r="I6" s="1" t="s">
        <v>89</v>
      </c>
      <c r="J6" s="1" t="s">
        <v>103</v>
      </c>
      <c r="K6" s="1" t="s">
        <v>133</v>
      </c>
      <c r="L6" s="1" t="s">
        <v>19</v>
      </c>
      <c r="M6" s="1" t="s">
        <v>92</v>
      </c>
    </row>
    <row r="7" spans="1:13" x14ac:dyDescent="0.25">
      <c r="A7" s="1" t="s">
        <v>145</v>
      </c>
      <c r="B7" s="1" t="s">
        <v>129</v>
      </c>
      <c r="C7" s="1" t="s">
        <v>105</v>
      </c>
      <c r="D7" s="1" t="s">
        <v>583</v>
      </c>
      <c r="E7" s="4">
        <v>45918</v>
      </c>
      <c r="F7" s="1" t="s">
        <v>18</v>
      </c>
      <c r="G7" s="1" t="s">
        <v>87</v>
      </c>
      <c r="H7" s="1" t="s">
        <v>106</v>
      </c>
      <c r="I7" s="1" t="s">
        <v>89</v>
      </c>
      <c r="J7" s="1" t="s">
        <v>107</v>
      </c>
      <c r="K7" s="1" t="s">
        <v>133</v>
      </c>
      <c r="L7" s="1" t="s">
        <v>19</v>
      </c>
      <c r="M7" s="1" t="s">
        <v>92</v>
      </c>
    </row>
    <row r="8" spans="1:13" x14ac:dyDescent="0.25">
      <c r="A8" s="1" t="s">
        <v>146</v>
      </c>
      <c r="B8" s="1" t="s">
        <v>129</v>
      </c>
      <c r="C8" s="1" t="s">
        <v>109</v>
      </c>
      <c r="D8" s="1" t="s">
        <v>583</v>
      </c>
      <c r="E8" s="4">
        <v>45918</v>
      </c>
      <c r="F8" s="1" t="s">
        <v>18</v>
      </c>
      <c r="G8" s="1" t="s">
        <v>87</v>
      </c>
      <c r="H8" s="1" t="s">
        <v>110</v>
      </c>
      <c r="I8" s="1" t="s">
        <v>89</v>
      </c>
      <c r="J8" s="1" t="s">
        <v>111</v>
      </c>
      <c r="K8" s="1" t="s">
        <v>133</v>
      </c>
      <c r="L8" s="1" t="s">
        <v>19</v>
      </c>
      <c r="M8" s="1" t="s">
        <v>92</v>
      </c>
    </row>
    <row r="9" spans="1:13" x14ac:dyDescent="0.25">
      <c r="A9" s="1" t="s">
        <v>147</v>
      </c>
      <c r="B9" s="1" t="s">
        <v>129</v>
      </c>
      <c r="C9" s="1" t="s">
        <v>113</v>
      </c>
      <c r="D9" s="1" t="s">
        <v>583</v>
      </c>
      <c r="E9" s="4">
        <v>45918</v>
      </c>
      <c r="F9" s="1" t="s">
        <v>18</v>
      </c>
      <c r="G9" s="1" t="s">
        <v>87</v>
      </c>
      <c r="H9" s="1" t="s">
        <v>114</v>
      </c>
      <c r="I9" s="1" t="s">
        <v>89</v>
      </c>
      <c r="J9" s="1" t="s">
        <v>115</v>
      </c>
      <c r="K9" s="1" t="s">
        <v>133</v>
      </c>
      <c r="L9" s="1" t="s">
        <v>19</v>
      </c>
      <c r="M9" s="1" t="s">
        <v>92</v>
      </c>
    </row>
    <row r="10" spans="1:13" x14ac:dyDescent="0.25">
      <c r="A10" s="1" t="s">
        <v>148</v>
      </c>
      <c r="B10" s="1" t="s">
        <v>129</v>
      </c>
      <c r="C10" s="1" t="s">
        <v>117</v>
      </c>
      <c r="D10" s="1" t="s">
        <v>583</v>
      </c>
      <c r="E10" s="4">
        <v>45918</v>
      </c>
      <c r="F10" s="1" t="s">
        <v>18</v>
      </c>
      <c r="G10" s="1" t="s">
        <v>87</v>
      </c>
      <c r="H10" s="1" t="s">
        <v>118</v>
      </c>
      <c r="I10" s="1" t="s">
        <v>89</v>
      </c>
      <c r="J10" s="1" t="s">
        <v>119</v>
      </c>
      <c r="K10" s="1" t="s">
        <v>133</v>
      </c>
      <c r="L10" s="1" t="s">
        <v>19</v>
      </c>
      <c r="M10" s="1" t="s">
        <v>92</v>
      </c>
    </row>
    <row r="11" spans="1:13" x14ac:dyDescent="0.25">
      <c r="A11" s="1" t="s">
        <v>149</v>
      </c>
      <c r="B11" s="1" t="s">
        <v>129</v>
      </c>
      <c r="C11" s="1" t="s">
        <v>121</v>
      </c>
      <c r="D11" s="1" t="s">
        <v>583</v>
      </c>
      <c r="E11" s="4">
        <v>45918</v>
      </c>
      <c r="F11" s="1" t="s">
        <v>18</v>
      </c>
      <c r="G11" s="1" t="s">
        <v>87</v>
      </c>
      <c r="H11" s="1" t="s">
        <v>122</v>
      </c>
      <c r="I11" s="1" t="s">
        <v>89</v>
      </c>
      <c r="J11" s="1" t="s">
        <v>123</v>
      </c>
      <c r="K11" s="1" t="s">
        <v>133</v>
      </c>
      <c r="L11" s="1" t="s">
        <v>19</v>
      </c>
      <c r="M11" s="1" t="s">
        <v>92</v>
      </c>
    </row>
    <row r="12" spans="1:13" x14ac:dyDescent="0.25">
      <c r="A12" s="1" t="s">
        <v>150</v>
      </c>
      <c r="B12" s="1" t="s">
        <v>129</v>
      </c>
      <c r="C12" s="1" t="s">
        <v>125</v>
      </c>
      <c r="D12" s="1" t="s">
        <v>583</v>
      </c>
      <c r="E12" s="4">
        <v>45918</v>
      </c>
      <c r="F12" s="1" t="s">
        <v>18</v>
      </c>
      <c r="G12" s="1" t="s">
        <v>87</v>
      </c>
      <c r="H12" s="1" t="s">
        <v>126</v>
      </c>
      <c r="I12" s="1" t="s">
        <v>89</v>
      </c>
      <c r="J12" s="1" t="s">
        <v>127</v>
      </c>
      <c r="K12" s="1" t="s">
        <v>133</v>
      </c>
      <c r="L12" s="1" t="s">
        <v>19</v>
      </c>
      <c r="M12" s="1" t="s">
        <v>92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1"/>
  <sheetViews>
    <sheetView workbookViewId="0">
      <selection activeCell="C17" sqref="C17"/>
    </sheetView>
  </sheetViews>
  <sheetFormatPr defaultRowHeight="15" x14ac:dyDescent="0.25"/>
  <cols>
    <col min="1" max="1" width="11.5703125" bestFit="1" customWidth="1"/>
    <col min="2" max="2" width="11.42578125" bestFit="1" customWidth="1"/>
    <col min="3" max="3" width="64" bestFit="1" customWidth="1"/>
    <col min="4" max="4" width="13.140625" customWidth="1"/>
    <col min="5" max="5" width="14.42578125" bestFit="1" customWidth="1"/>
    <col min="6" max="6" width="13.42578125" bestFit="1" customWidth="1"/>
    <col min="7" max="7" width="33.42578125" bestFit="1" customWidth="1"/>
    <col min="8" max="8" width="28.7109375" bestFit="1" customWidth="1"/>
    <col min="9" max="9" width="30.85546875" bestFit="1" customWidth="1"/>
    <col min="10" max="10" width="51.5703125" bestFit="1" customWidth="1"/>
    <col min="11" max="11" width="31" bestFit="1" customWidth="1"/>
    <col min="12" max="12" width="16.28515625" customWidth="1"/>
    <col min="13" max="13" width="42.4257812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1" t="s">
        <v>151</v>
      </c>
      <c r="B2" s="1" t="s">
        <v>152</v>
      </c>
      <c r="C2" s="1" t="s">
        <v>153</v>
      </c>
      <c r="D2" s="1" t="s">
        <v>497</v>
      </c>
      <c r="E2" s="4">
        <v>45919</v>
      </c>
      <c r="F2" s="1" t="s">
        <v>18</v>
      </c>
      <c r="G2" s="1" t="s">
        <v>87</v>
      </c>
      <c r="H2" s="1" t="s">
        <v>154</v>
      </c>
      <c r="I2" s="1" t="s">
        <v>89</v>
      </c>
      <c r="J2" s="1" t="s">
        <v>155</v>
      </c>
      <c r="K2" s="1" t="s">
        <v>156</v>
      </c>
      <c r="L2" s="1" t="s">
        <v>19</v>
      </c>
      <c r="M2" s="1" t="s">
        <v>92</v>
      </c>
    </row>
    <row r="3" spans="1:13" x14ac:dyDescent="0.25">
      <c r="A3" s="1" t="s">
        <v>157</v>
      </c>
      <c r="B3" s="1" t="s">
        <v>152</v>
      </c>
      <c r="C3" s="1" t="s">
        <v>158</v>
      </c>
      <c r="D3" s="1" t="s">
        <v>497</v>
      </c>
      <c r="E3" s="4">
        <v>45919</v>
      </c>
      <c r="F3" s="1" t="s">
        <v>18</v>
      </c>
      <c r="G3" s="1" t="s">
        <v>87</v>
      </c>
      <c r="H3" s="1" t="s">
        <v>154</v>
      </c>
      <c r="I3" s="1" t="s">
        <v>89</v>
      </c>
      <c r="J3" s="1" t="s">
        <v>159</v>
      </c>
      <c r="K3" s="1" t="s">
        <v>156</v>
      </c>
      <c r="L3" s="1" t="s">
        <v>19</v>
      </c>
      <c r="M3" s="1" t="s">
        <v>92</v>
      </c>
    </row>
    <row r="4" spans="1:13" x14ac:dyDescent="0.25">
      <c r="A4" s="1" t="s">
        <v>160</v>
      </c>
      <c r="B4" s="1" t="s">
        <v>152</v>
      </c>
      <c r="C4" s="1" t="s">
        <v>161</v>
      </c>
      <c r="D4" s="1" t="s">
        <v>497</v>
      </c>
      <c r="E4" s="4">
        <v>45919</v>
      </c>
      <c r="F4" s="1" t="s">
        <v>18</v>
      </c>
      <c r="G4" s="1" t="s">
        <v>87</v>
      </c>
      <c r="H4" s="1" t="s">
        <v>154</v>
      </c>
      <c r="I4" s="1" t="s">
        <v>89</v>
      </c>
      <c r="J4" s="1" t="s">
        <v>162</v>
      </c>
      <c r="K4" s="1" t="s">
        <v>156</v>
      </c>
      <c r="L4" s="1" t="s">
        <v>19</v>
      </c>
      <c r="M4" s="1" t="s">
        <v>92</v>
      </c>
    </row>
    <row r="5" spans="1:13" x14ac:dyDescent="0.25">
      <c r="A5" s="1" t="s">
        <v>163</v>
      </c>
      <c r="B5" s="1" t="s">
        <v>152</v>
      </c>
      <c r="C5" s="1" t="s">
        <v>164</v>
      </c>
      <c r="D5" s="1" t="s">
        <v>497</v>
      </c>
      <c r="E5" s="4">
        <v>45919</v>
      </c>
      <c r="F5" s="1" t="s">
        <v>18</v>
      </c>
      <c r="G5" s="1" t="s">
        <v>87</v>
      </c>
      <c r="H5" s="1" t="s">
        <v>154</v>
      </c>
      <c r="I5" s="1" t="s">
        <v>89</v>
      </c>
      <c r="J5" s="1" t="s">
        <v>165</v>
      </c>
      <c r="K5" s="1" t="s">
        <v>156</v>
      </c>
      <c r="L5" s="1" t="s">
        <v>19</v>
      </c>
      <c r="M5" s="1" t="s">
        <v>92</v>
      </c>
    </row>
    <row r="6" spans="1:13" x14ac:dyDescent="0.25">
      <c r="A6" s="1" t="s">
        <v>166</v>
      </c>
      <c r="B6" s="1" t="s">
        <v>152</v>
      </c>
      <c r="C6" s="1" t="s">
        <v>167</v>
      </c>
      <c r="D6" s="1" t="s">
        <v>497</v>
      </c>
      <c r="E6" s="4">
        <v>45919</v>
      </c>
      <c r="F6" s="1" t="s">
        <v>18</v>
      </c>
      <c r="G6" s="1" t="s">
        <v>87</v>
      </c>
      <c r="H6" s="1" t="s">
        <v>154</v>
      </c>
      <c r="I6" s="1" t="s">
        <v>89</v>
      </c>
      <c r="J6" s="1" t="s">
        <v>168</v>
      </c>
      <c r="K6" s="1" t="s">
        <v>156</v>
      </c>
      <c r="L6" s="1" t="s">
        <v>19</v>
      </c>
      <c r="M6" s="1" t="s">
        <v>92</v>
      </c>
    </row>
    <row r="7" spans="1:13" x14ac:dyDescent="0.25">
      <c r="A7" s="1" t="s">
        <v>169</v>
      </c>
      <c r="B7" s="1" t="s">
        <v>152</v>
      </c>
      <c r="C7" s="1" t="s">
        <v>170</v>
      </c>
      <c r="D7" s="1" t="s">
        <v>497</v>
      </c>
      <c r="E7" s="4">
        <v>45919</v>
      </c>
      <c r="F7" s="1" t="s">
        <v>18</v>
      </c>
      <c r="G7" s="1" t="s">
        <v>87</v>
      </c>
      <c r="H7" s="1" t="s">
        <v>154</v>
      </c>
      <c r="I7" s="1" t="s">
        <v>89</v>
      </c>
      <c r="J7" s="1" t="s">
        <v>171</v>
      </c>
      <c r="K7" s="1" t="s">
        <v>156</v>
      </c>
      <c r="L7" s="1" t="s">
        <v>19</v>
      </c>
      <c r="M7" s="1" t="s">
        <v>92</v>
      </c>
    </row>
    <row r="8" spans="1:13" x14ac:dyDescent="0.25">
      <c r="A8" s="1" t="s">
        <v>172</v>
      </c>
      <c r="B8" s="1" t="s">
        <v>152</v>
      </c>
      <c r="C8" s="1" t="s">
        <v>173</v>
      </c>
      <c r="D8" s="1" t="s">
        <v>497</v>
      </c>
      <c r="E8" s="4">
        <v>45919</v>
      </c>
      <c r="F8" s="1" t="s">
        <v>18</v>
      </c>
      <c r="G8" s="1" t="s">
        <v>87</v>
      </c>
      <c r="H8" s="1" t="s">
        <v>154</v>
      </c>
      <c r="I8" s="1" t="s">
        <v>89</v>
      </c>
      <c r="J8" s="1" t="s">
        <v>174</v>
      </c>
      <c r="K8" s="1" t="s">
        <v>156</v>
      </c>
      <c r="L8" s="1" t="s">
        <v>19</v>
      </c>
      <c r="M8" s="1" t="s">
        <v>92</v>
      </c>
    </row>
    <row r="9" spans="1:13" x14ac:dyDescent="0.25">
      <c r="A9" s="1" t="s">
        <v>175</v>
      </c>
      <c r="B9" s="1" t="s">
        <v>152</v>
      </c>
      <c r="C9" s="1" t="s">
        <v>176</v>
      </c>
      <c r="D9" s="1" t="s">
        <v>497</v>
      </c>
      <c r="E9" s="4">
        <v>45919</v>
      </c>
      <c r="F9" s="1" t="s">
        <v>18</v>
      </c>
      <c r="G9" s="1" t="s">
        <v>87</v>
      </c>
      <c r="H9" s="1" t="s">
        <v>154</v>
      </c>
      <c r="I9" s="1" t="s">
        <v>89</v>
      </c>
      <c r="J9" s="1" t="s">
        <v>177</v>
      </c>
      <c r="K9" s="1" t="s">
        <v>156</v>
      </c>
      <c r="L9" s="1" t="s">
        <v>19</v>
      </c>
      <c r="M9" s="1" t="s">
        <v>92</v>
      </c>
    </row>
    <row r="10" spans="1:13" x14ac:dyDescent="0.25">
      <c r="A10" s="1" t="s">
        <v>178</v>
      </c>
      <c r="B10" s="1" t="s">
        <v>152</v>
      </c>
      <c r="C10" s="1" t="s">
        <v>179</v>
      </c>
      <c r="D10" s="1" t="s">
        <v>497</v>
      </c>
      <c r="E10" s="4">
        <v>45919</v>
      </c>
      <c r="F10" s="1" t="s">
        <v>18</v>
      </c>
      <c r="G10" s="1" t="s">
        <v>87</v>
      </c>
      <c r="H10" s="1" t="s">
        <v>154</v>
      </c>
      <c r="I10" s="1" t="s">
        <v>89</v>
      </c>
      <c r="J10" s="1" t="s">
        <v>180</v>
      </c>
      <c r="K10" s="1" t="s">
        <v>156</v>
      </c>
      <c r="L10" s="1" t="s">
        <v>19</v>
      </c>
      <c r="M10" s="1" t="s">
        <v>92</v>
      </c>
    </row>
    <row r="11" spans="1:13" x14ac:dyDescent="0.25">
      <c r="A11" s="1" t="s">
        <v>181</v>
      </c>
      <c r="B11" s="1" t="s">
        <v>152</v>
      </c>
      <c r="C11" s="1" t="s">
        <v>511</v>
      </c>
      <c r="D11" s="1" t="s">
        <v>497</v>
      </c>
      <c r="E11" s="4">
        <v>45919</v>
      </c>
      <c r="F11" s="1" t="s">
        <v>18</v>
      </c>
      <c r="G11" s="1" t="s">
        <v>87</v>
      </c>
      <c r="H11" s="1" t="s">
        <v>154</v>
      </c>
      <c r="I11" s="1" t="s">
        <v>89</v>
      </c>
      <c r="J11" s="1" t="s">
        <v>182</v>
      </c>
      <c r="K11" s="1" t="s">
        <v>156</v>
      </c>
      <c r="L11" s="1" t="s">
        <v>19</v>
      </c>
      <c r="M11" s="1" t="s">
        <v>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1"/>
  <sheetViews>
    <sheetView workbookViewId="0">
      <selection activeCell="G23" sqref="G23"/>
    </sheetView>
  </sheetViews>
  <sheetFormatPr defaultRowHeight="15" x14ac:dyDescent="0.25"/>
  <cols>
    <col min="1" max="1" width="11.5703125" bestFit="1" customWidth="1"/>
    <col min="2" max="2" width="11.42578125" bestFit="1" customWidth="1"/>
    <col min="3" max="3" width="76.28515625" bestFit="1" customWidth="1"/>
    <col min="4" max="4" width="15.7109375" customWidth="1"/>
    <col min="5" max="5" width="14.42578125" bestFit="1" customWidth="1"/>
    <col min="6" max="6" width="13.42578125" bestFit="1" customWidth="1"/>
    <col min="7" max="7" width="33.42578125" bestFit="1" customWidth="1"/>
    <col min="8" max="8" width="28.7109375" bestFit="1" customWidth="1"/>
    <col min="9" max="9" width="30.85546875" bestFit="1" customWidth="1"/>
    <col min="10" max="10" width="55.42578125" bestFit="1" customWidth="1"/>
    <col min="11" max="11" width="30.140625" bestFit="1" customWidth="1"/>
    <col min="12" max="12" width="16.28515625" bestFit="1" customWidth="1"/>
    <col min="13" max="13" width="42.4257812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1" t="s">
        <v>183</v>
      </c>
      <c r="B2" s="1" t="s">
        <v>184</v>
      </c>
      <c r="C2" s="1" t="s">
        <v>185</v>
      </c>
      <c r="D2" s="1" t="s">
        <v>583</v>
      </c>
      <c r="E2" s="4">
        <v>45918</v>
      </c>
      <c r="F2" s="1" t="s">
        <v>18</v>
      </c>
      <c r="G2" s="1" t="s">
        <v>87</v>
      </c>
      <c r="H2" s="1" t="s">
        <v>154</v>
      </c>
      <c r="I2" s="1" t="s">
        <v>89</v>
      </c>
      <c r="J2" s="1" t="s">
        <v>186</v>
      </c>
      <c r="K2" s="1" t="s">
        <v>187</v>
      </c>
      <c r="L2" s="1" t="s">
        <v>19</v>
      </c>
      <c r="M2" s="1" t="s">
        <v>92</v>
      </c>
    </row>
    <row r="3" spans="1:13" x14ac:dyDescent="0.25">
      <c r="A3" s="1" t="s">
        <v>188</v>
      </c>
      <c r="B3" s="1" t="s">
        <v>184</v>
      </c>
      <c r="C3" s="1" t="s">
        <v>189</v>
      </c>
      <c r="D3" s="1" t="s">
        <v>583</v>
      </c>
      <c r="E3" s="4">
        <v>45918</v>
      </c>
      <c r="F3" s="1" t="s">
        <v>18</v>
      </c>
      <c r="G3" s="1" t="s">
        <v>87</v>
      </c>
      <c r="H3" s="1" t="s">
        <v>154</v>
      </c>
      <c r="I3" s="1" t="s">
        <v>89</v>
      </c>
      <c r="J3" s="1" t="s">
        <v>190</v>
      </c>
      <c r="K3" s="1" t="s">
        <v>187</v>
      </c>
      <c r="L3" s="1" t="s">
        <v>19</v>
      </c>
      <c r="M3" s="1" t="s">
        <v>92</v>
      </c>
    </row>
    <row r="4" spans="1:13" x14ac:dyDescent="0.25">
      <c r="A4" s="1" t="s">
        <v>191</v>
      </c>
      <c r="B4" s="1" t="s">
        <v>184</v>
      </c>
      <c r="C4" s="1" t="s">
        <v>192</v>
      </c>
      <c r="D4" s="1" t="s">
        <v>583</v>
      </c>
      <c r="E4" s="4">
        <v>45918</v>
      </c>
      <c r="F4" s="1" t="s">
        <v>18</v>
      </c>
      <c r="G4" s="1" t="s">
        <v>87</v>
      </c>
      <c r="H4" s="1" t="s">
        <v>154</v>
      </c>
      <c r="I4" s="1" t="s">
        <v>89</v>
      </c>
      <c r="J4" s="1" t="s">
        <v>193</v>
      </c>
      <c r="K4" s="1" t="s">
        <v>187</v>
      </c>
      <c r="L4" s="1" t="s">
        <v>19</v>
      </c>
      <c r="M4" s="1" t="s">
        <v>92</v>
      </c>
    </row>
    <row r="5" spans="1:13" x14ac:dyDescent="0.25">
      <c r="A5" s="1" t="s">
        <v>194</v>
      </c>
      <c r="B5" s="1" t="s">
        <v>184</v>
      </c>
      <c r="C5" s="1" t="s">
        <v>195</v>
      </c>
      <c r="D5" s="1" t="s">
        <v>583</v>
      </c>
      <c r="E5" s="4">
        <v>45918</v>
      </c>
      <c r="F5" s="1" t="s">
        <v>18</v>
      </c>
      <c r="G5" s="1" t="s">
        <v>87</v>
      </c>
      <c r="H5" s="1" t="s">
        <v>154</v>
      </c>
      <c r="I5" s="1" t="s">
        <v>89</v>
      </c>
      <c r="J5" s="1" t="s">
        <v>196</v>
      </c>
      <c r="K5" s="1" t="s">
        <v>187</v>
      </c>
      <c r="L5" s="1" t="s">
        <v>19</v>
      </c>
      <c r="M5" s="1" t="s">
        <v>92</v>
      </c>
    </row>
    <row r="6" spans="1:13" x14ac:dyDescent="0.25">
      <c r="A6" s="1" t="s">
        <v>197</v>
      </c>
      <c r="B6" s="1" t="s">
        <v>184</v>
      </c>
      <c r="C6" s="1" t="s">
        <v>198</v>
      </c>
      <c r="D6" s="1" t="s">
        <v>583</v>
      </c>
      <c r="E6" s="4">
        <v>45918</v>
      </c>
      <c r="F6" s="1" t="s">
        <v>18</v>
      </c>
      <c r="G6" s="1" t="s">
        <v>87</v>
      </c>
      <c r="H6" s="1" t="s">
        <v>154</v>
      </c>
      <c r="I6" s="1" t="s">
        <v>89</v>
      </c>
      <c r="J6" s="1" t="s">
        <v>199</v>
      </c>
      <c r="K6" s="1" t="s">
        <v>187</v>
      </c>
      <c r="L6" s="1" t="s">
        <v>19</v>
      </c>
      <c r="M6" s="1" t="s">
        <v>92</v>
      </c>
    </row>
    <row r="7" spans="1:13" x14ac:dyDescent="0.25">
      <c r="A7" s="1" t="s">
        <v>200</v>
      </c>
      <c r="B7" s="1" t="s">
        <v>184</v>
      </c>
      <c r="C7" s="1" t="s">
        <v>201</v>
      </c>
      <c r="D7" s="1" t="s">
        <v>583</v>
      </c>
      <c r="E7" s="4">
        <v>45918</v>
      </c>
      <c r="F7" s="1" t="s">
        <v>18</v>
      </c>
      <c r="G7" s="1" t="s">
        <v>87</v>
      </c>
      <c r="H7" s="1" t="s">
        <v>154</v>
      </c>
      <c r="I7" s="1" t="s">
        <v>89</v>
      </c>
      <c r="J7" s="1" t="s">
        <v>202</v>
      </c>
      <c r="K7" s="1" t="s">
        <v>187</v>
      </c>
      <c r="L7" s="1" t="s">
        <v>19</v>
      </c>
      <c r="M7" s="1" t="s">
        <v>92</v>
      </c>
    </row>
    <row r="8" spans="1:13" x14ac:dyDescent="0.25">
      <c r="A8" s="1" t="s">
        <v>203</v>
      </c>
      <c r="B8" s="1" t="s">
        <v>184</v>
      </c>
      <c r="C8" s="1" t="s">
        <v>204</v>
      </c>
      <c r="D8" s="1" t="s">
        <v>583</v>
      </c>
      <c r="E8" s="4">
        <v>45918</v>
      </c>
      <c r="F8" s="1" t="s">
        <v>18</v>
      </c>
      <c r="G8" s="1" t="s">
        <v>87</v>
      </c>
      <c r="H8" s="1" t="s">
        <v>154</v>
      </c>
      <c r="I8" s="1" t="s">
        <v>89</v>
      </c>
      <c r="J8" s="1" t="s">
        <v>205</v>
      </c>
      <c r="K8" s="1" t="s">
        <v>187</v>
      </c>
      <c r="L8" s="1" t="s">
        <v>19</v>
      </c>
      <c r="M8" s="1" t="s">
        <v>92</v>
      </c>
    </row>
    <row r="9" spans="1:13" x14ac:dyDescent="0.25">
      <c r="A9" s="1" t="s">
        <v>206</v>
      </c>
      <c r="B9" s="1" t="s">
        <v>184</v>
      </c>
      <c r="C9" s="1" t="s">
        <v>207</v>
      </c>
      <c r="D9" s="1" t="s">
        <v>583</v>
      </c>
      <c r="E9" s="4">
        <v>45918</v>
      </c>
      <c r="F9" s="1" t="s">
        <v>18</v>
      </c>
      <c r="G9" s="1" t="s">
        <v>87</v>
      </c>
      <c r="H9" s="1" t="s">
        <v>154</v>
      </c>
      <c r="I9" s="1" t="s">
        <v>89</v>
      </c>
      <c r="J9" s="1" t="s">
        <v>208</v>
      </c>
      <c r="K9" s="1" t="s">
        <v>187</v>
      </c>
      <c r="L9" s="1" t="s">
        <v>19</v>
      </c>
      <c r="M9" s="1" t="s">
        <v>92</v>
      </c>
    </row>
    <row r="10" spans="1:13" x14ac:dyDescent="0.25">
      <c r="A10" s="1" t="s">
        <v>209</v>
      </c>
      <c r="B10" s="1" t="s">
        <v>184</v>
      </c>
      <c r="C10" s="1" t="s">
        <v>210</v>
      </c>
      <c r="D10" s="1" t="s">
        <v>583</v>
      </c>
      <c r="E10" s="4">
        <v>45918</v>
      </c>
      <c r="F10" s="1" t="s">
        <v>18</v>
      </c>
      <c r="G10" s="1" t="s">
        <v>87</v>
      </c>
      <c r="H10" s="1" t="s">
        <v>154</v>
      </c>
      <c r="I10" s="1" t="s">
        <v>89</v>
      </c>
      <c r="J10" s="1" t="s">
        <v>211</v>
      </c>
      <c r="K10" s="1" t="s">
        <v>187</v>
      </c>
      <c r="L10" s="1" t="s">
        <v>19</v>
      </c>
      <c r="M10" s="1" t="s">
        <v>92</v>
      </c>
    </row>
    <row r="11" spans="1:13" x14ac:dyDescent="0.25">
      <c r="A11" s="1"/>
      <c r="B11" s="1"/>
      <c r="C11" s="1"/>
      <c r="D11" s="1"/>
      <c r="E11" s="4"/>
      <c r="F11" s="1"/>
      <c r="G11" s="1"/>
      <c r="H11" s="1"/>
      <c r="I11" s="1"/>
      <c r="J11" s="1"/>
      <c r="K11" s="1"/>
      <c r="L11" s="1"/>
      <c r="M11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2"/>
  <sheetViews>
    <sheetView workbookViewId="0">
      <selection activeCell="F15" sqref="F15"/>
    </sheetView>
  </sheetViews>
  <sheetFormatPr defaultRowHeight="15" x14ac:dyDescent="0.25"/>
  <cols>
    <col min="1" max="1" width="15.85546875" bestFit="1" customWidth="1"/>
    <col min="2" max="2" width="15.7109375" customWidth="1"/>
    <col min="3" max="3" width="23.42578125" bestFit="1" customWidth="1"/>
    <col min="4" max="4" width="23.42578125" customWidth="1"/>
    <col min="5" max="5" width="14.42578125" bestFit="1" customWidth="1"/>
    <col min="6" max="6" width="13.42578125" bestFit="1" customWidth="1"/>
    <col min="7" max="7" width="48.28515625" bestFit="1" customWidth="1"/>
    <col min="8" max="8" width="22.5703125" bestFit="1" customWidth="1"/>
    <col min="9" max="9" width="21.7109375" bestFit="1" customWidth="1"/>
    <col min="10" max="10" width="55.85546875" bestFit="1" customWidth="1"/>
    <col min="11" max="11" width="30.5703125" bestFit="1" customWidth="1"/>
    <col min="12" max="12" width="16.28515625" bestFit="1" customWidth="1"/>
    <col min="13" max="13" width="42.8554687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30" x14ac:dyDescent="0.25">
      <c r="A2" s="5" t="s">
        <v>212</v>
      </c>
      <c r="B2" s="1" t="s">
        <v>213</v>
      </c>
      <c r="C2" s="5" t="s">
        <v>214</v>
      </c>
      <c r="D2" s="5" t="s">
        <v>497</v>
      </c>
      <c r="E2" s="4">
        <v>45917</v>
      </c>
      <c r="F2" s="1" t="s">
        <v>18</v>
      </c>
      <c r="G2" s="1" t="s">
        <v>215</v>
      </c>
      <c r="H2" s="1" t="s">
        <v>216</v>
      </c>
      <c r="I2" s="3" t="s">
        <v>217</v>
      </c>
      <c r="J2" s="5" t="s">
        <v>218</v>
      </c>
      <c r="K2" s="1" t="s">
        <v>219</v>
      </c>
      <c r="L2" s="1" t="s">
        <v>19</v>
      </c>
      <c r="M2" s="1" t="s">
        <v>220</v>
      </c>
    </row>
    <row r="3" spans="1:13" ht="30" x14ac:dyDescent="0.25">
      <c r="A3" s="5" t="s">
        <v>221</v>
      </c>
      <c r="B3" s="1" t="s">
        <v>213</v>
      </c>
      <c r="C3" s="5" t="s">
        <v>222</v>
      </c>
      <c r="D3" s="5" t="s">
        <v>497</v>
      </c>
      <c r="E3" s="4">
        <v>45917</v>
      </c>
      <c r="F3" s="1" t="s">
        <v>18</v>
      </c>
      <c r="G3" s="1" t="s">
        <v>215</v>
      </c>
      <c r="H3" s="1" t="s">
        <v>216</v>
      </c>
      <c r="I3" s="3" t="s">
        <v>223</v>
      </c>
      <c r="J3" s="5" t="s">
        <v>224</v>
      </c>
      <c r="K3" s="1" t="s">
        <v>219</v>
      </c>
      <c r="L3" s="1" t="s">
        <v>19</v>
      </c>
      <c r="M3" s="1" t="s">
        <v>220</v>
      </c>
    </row>
    <row r="4" spans="1:13" ht="30" x14ac:dyDescent="0.25">
      <c r="A4" s="5" t="s">
        <v>225</v>
      </c>
      <c r="B4" s="1" t="s">
        <v>213</v>
      </c>
      <c r="C4" s="5" t="s">
        <v>226</v>
      </c>
      <c r="D4" s="5" t="s">
        <v>497</v>
      </c>
      <c r="E4" s="4">
        <v>45917</v>
      </c>
      <c r="F4" s="1" t="s">
        <v>18</v>
      </c>
      <c r="G4" s="1" t="s">
        <v>215</v>
      </c>
      <c r="H4" s="1" t="s">
        <v>216</v>
      </c>
      <c r="I4" s="3" t="s">
        <v>227</v>
      </c>
      <c r="J4" s="5" t="s">
        <v>228</v>
      </c>
      <c r="K4" s="1" t="s">
        <v>219</v>
      </c>
      <c r="L4" s="1" t="s">
        <v>19</v>
      </c>
      <c r="M4" s="1" t="s">
        <v>220</v>
      </c>
    </row>
    <row r="5" spans="1:13" ht="30" x14ac:dyDescent="0.25">
      <c r="A5" s="5" t="s">
        <v>229</v>
      </c>
      <c r="B5" s="1" t="s">
        <v>213</v>
      </c>
      <c r="C5" s="5" t="s">
        <v>230</v>
      </c>
      <c r="D5" s="5" t="s">
        <v>497</v>
      </c>
      <c r="E5" s="4">
        <v>45917</v>
      </c>
      <c r="F5" s="1" t="s">
        <v>18</v>
      </c>
      <c r="G5" s="1" t="s">
        <v>215</v>
      </c>
      <c r="H5" s="1" t="s">
        <v>216</v>
      </c>
      <c r="I5" s="3" t="s">
        <v>231</v>
      </c>
      <c r="J5" s="5" t="s">
        <v>232</v>
      </c>
      <c r="K5" s="1" t="s">
        <v>219</v>
      </c>
      <c r="L5" s="1" t="s">
        <v>19</v>
      </c>
      <c r="M5" s="1" t="s">
        <v>220</v>
      </c>
    </row>
    <row r="6" spans="1:13" ht="30" x14ac:dyDescent="0.25">
      <c r="A6" s="5" t="s">
        <v>233</v>
      </c>
      <c r="B6" s="1" t="s">
        <v>213</v>
      </c>
      <c r="C6" s="5" t="s">
        <v>234</v>
      </c>
      <c r="D6" s="5" t="s">
        <v>497</v>
      </c>
      <c r="E6" s="4">
        <v>45917</v>
      </c>
      <c r="F6" s="1" t="s">
        <v>18</v>
      </c>
      <c r="G6" s="1" t="s">
        <v>215</v>
      </c>
      <c r="H6" s="1" t="s">
        <v>216</v>
      </c>
      <c r="I6" s="3" t="s">
        <v>235</v>
      </c>
      <c r="J6" s="5" t="s">
        <v>236</v>
      </c>
      <c r="K6" s="1" t="s">
        <v>219</v>
      </c>
      <c r="L6" s="1" t="s">
        <v>19</v>
      </c>
      <c r="M6" s="1" t="s">
        <v>220</v>
      </c>
    </row>
    <row r="7" spans="1:13" ht="30" x14ac:dyDescent="0.25">
      <c r="A7" s="5" t="s">
        <v>237</v>
      </c>
      <c r="B7" s="1" t="s">
        <v>213</v>
      </c>
      <c r="C7" s="5" t="s">
        <v>238</v>
      </c>
      <c r="D7" s="5" t="s">
        <v>497</v>
      </c>
      <c r="E7" s="4">
        <v>45917</v>
      </c>
      <c r="F7" s="1" t="s">
        <v>18</v>
      </c>
      <c r="G7" s="1" t="s">
        <v>215</v>
      </c>
      <c r="H7" s="1" t="s">
        <v>216</v>
      </c>
      <c r="I7" s="3" t="s">
        <v>239</v>
      </c>
      <c r="J7" s="5" t="s">
        <v>240</v>
      </c>
      <c r="K7" s="1" t="s">
        <v>219</v>
      </c>
      <c r="L7" s="1" t="s">
        <v>19</v>
      </c>
      <c r="M7" s="1" t="s">
        <v>220</v>
      </c>
    </row>
    <row r="8" spans="1:13" ht="30" x14ac:dyDescent="0.25">
      <c r="A8" s="5" t="s">
        <v>241</v>
      </c>
      <c r="B8" s="1" t="s">
        <v>213</v>
      </c>
      <c r="C8" s="5" t="s">
        <v>242</v>
      </c>
      <c r="D8" s="5" t="s">
        <v>497</v>
      </c>
      <c r="E8" s="4">
        <v>45917</v>
      </c>
      <c r="F8" s="1" t="s">
        <v>18</v>
      </c>
      <c r="G8" s="1" t="s">
        <v>215</v>
      </c>
      <c r="H8" s="1" t="s">
        <v>216</v>
      </c>
      <c r="I8" s="3" t="s">
        <v>243</v>
      </c>
      <c r="J8" s="5" t="s">
        <v>244</v>
      </c>
      <c r="K8" s="1" t="s">
        <v>219</v>
      </c>
      <c r="L8" s="1" t="s">
        <v>19</v>
      </c>
      <c r="M8" s="1" t="s">
        <v>220</v>
      </c>
    </row>
    <row r="9" spans="1:13" ht="30" x14ac:dyDescent="0.25">
      <c r="A9" s="5" t="s">
        <v>245</v>
      </c>
      <c r="B9" s="1" t="s">
        <v>213</v>
      </c>
      <c r="C9" s="5" t="s">
        <v>246</v>
      </c>
      <c r="D9" s="5" t="s">
        <v>497</v>
      </c>
      <c r="E9" s="4">
        <v>45917</v>
      </c>
      <c r="F9" s="1" t="s">
        <v>18</v>
      </c>
      <c r="G9" s="1" t="s">
        <v>215</v>
      </c>
      <c r="H9" s="1" t="s">
        <v>216</v>
      </c>
      <c r="I9" s="3" t="s">
        <v>247</v>
      </c>
      <c r="J9" s="5" t="s">
        <v>248</v>
      </c>
      <c r="K9" s="1" t="s">
        <v>219</v>
      </c>
      <c r="L9" s="1" t="s">
        <v>19</v>
      </c>
      <c r="M9" s="1" t="s">
        <v>220</v>
      </c>
    </row>
    <row r="10" spans="1:13" ht="30" x14ac:dyDescent="0.25">
      <c r="A10" s="5" t="s">
        <v>249</v>
      </c>
      <c r="B10" s="1" t="s">
        <v>213</v>
      </c>
      <c r="C10" s="5" t="s">
        <v>250</v>
      </c>
      <c r="D10" s="5" t="s">
        <v>497</v>
      </c>
      <c r="E10" s="4">
        <v>45917</v>
      </c>
      <c r="F10" s="1" t="s">
        <v>18</v>
      </c>
      <c r="G10" s="1" t="s">
        <v>215</v>
      </c>
      <c r="H10" s="1" t="s">
        <v>216</v>
      </c>
      <c r="I10" s="3" t="s">
        <v>251</v>
      </c>
      <c r="J10" s="5" t="s">
        <v>252</v>
      </c>
      <c r="K10" s="1" t="s">
        <v>219</v>
      </c>
      <c r="L10" s="1" t="s">
        <v>19</v>
      </c>
      <c r="M10" s="1" t="s">
        <v>220</v>
      </c>
    </row>
    <row r="11" spans="1:13" ht="30" x14ac:dyDescent="0.25">
      <c r="A11" s="5" t="s">
        <v>253</v>
      </c>
      <c r="B11" s="1" t="s">
        <v>213</v>
      </c>
      <c r="C11" s="5" t="s">
        <v>254</v>
      </c>
      <c r="D11" s="5" t="s">
        <v>497</v>
      </c>
      <c r="E11" s="4">
        <v>45917</v>
      </c>
      <c r="F11" s="1" t="s">
        <v>18</v>
      </c>
      <c r="G11" s="1" t="s">
        <v>215</v>
      </c>
      <c r="H11" s="1" t="s">
        <v>216</v>
      </c>
      <c r="I11" s="3" t="s">
        <v>255</v>
      </c>
      <c r="J11" s="5" t="s">
        <v>252</v>
      </c>
      <c r="K11" s="1" t="s">
        <v>219</v>
      </c>
      <c r="L11" s="1" t="s">
        <v>19</v>
      </c>
      <c r="M11" s="1" t="s">
        <v>220</v>
      </c>
    </row>
    <row r="12" spans="1:13" ht="30" x14ac:dyDescent="0.25">
      <c r="A12" s="1" t="s">
        <v>256</v>
      </c>
      <c r="B12" s="1" t="s">
        <v>213</v>
      </c>
      <c r="C12" s="1" t="s">
        <v>257</v>
      </c>
      <c r="D12" s="5" t="s">
        <v>497</v>
      </c>
      <c r="E12" s="4">
        <v>45917</v>
      </c>
      <c r="F12" s="1" t="s">
        <v>18</v>
      </c>
      <c r="G12" s="1" t="s">
        <v>18</v>
      </c>
      <c r="H12" s="1" t="s">
        <v>216</v>
      </c>
      <c r="I12" s="3" t="s">
        <v>258</v>
      </c>
      <c r="J12" s="1" t="s">
        <v>259</v>
      </c>
      <c r="K12" s="1" t="s">
        <v>18</v>
      </c>
      <c r="L12" s="1" t="s">
        <v>19</v>
      </c>
      <c r="M12" s="1" t="s">
        <v>220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2"/>
  <sheetViews>
    <sheetView topLeftCell="E7" workbookViewId="0">
      <selection activeCell="L11" sqref="L11"/>
    </sheetView>
  </sheetViews>
  <sheetFormatPr defaultRowHeight="15" x14ac:dyDescent="0.25"/>
  <cols>
    <col min="1" max="1" width="11.5703125" bestFit="1" customWidth="1"/>
    <col min="2" max="2" width="11.42578125" bestFit="1" customWidth="1"/>
    <col min="3" max="3" width="73.42578125" bestFit="1" customWidth="1"/>
    <col min="4" max="4" width="16.42578125" customWidth="1"/>
    <col min="5" max="5" width="14.42578125" bestFit="1" customWidth="1"/>
    <col min="6" max="6" width="13.42578125" bestFit="1" customWidth="1"/>
    <col min="7" max="7" width="36.85546875" bestFit="1" customWidth="1"/>
    <col min="8" max="8" width="22.5703125" bestFit="1" customWidth="1"/>
    <col min="9" max="9" width="19.140625" customWidth="1"/>
    <col min="10" max="10" width="64.85546875" bestFit="1" customWidth="1"/>
    <col min="11" max="11" width="26.140625" bestFit="1" customWidth="1"/>
    <col min="12" max="12" width="16.28515625" bestFit="1" customWidth="1"/>
    <col min="13" max="13" width="42.8554687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45" x14ac:dyDescent="0.25">
      <c r="A2" s="1" t="s">
        <v>260</v>
      </c>
      <c r="B2" s="1" t="s">
        <v>261</v>
      </c>
      <c r="C2" s="1" t="s">
        <v>262</v>
      </c>
      <c r="D2" s="1" t="s">
        <v>497</v>
      </c>
      <c r="E2" s="4">
        <v>45916</v>
      </c>
      <c r="F2" s="1" t="s">
        <v>18</v>
      </c>
      <c r="G2" s="1" t="s">
        <v>263</v>
      </c>
      <c r="H2" s="1" t="s">
        <v>216</v>
      </c>
      <c r="I2" s="3" t="s">
        <v>217</v>
      </c>
      <c r="J2" s="1" t="s">
        <v>264</v>
      </c>
      <c r="K2" s="1" t="s">
        <v>265</v>
      </c>
      <c r="L2" s="1" t="s">
        <v>19</v>
      </c>
      <c r="M2" s="1" t="s">
        <v>220</v>
      </c>
    </row>
    <row r="3" spans="1:13" ht="45" x14ac:dyDescent="0.25">
      <c r="A3" s="1" t="s">
        <v>266</v>
      </c>
      <c r="B3" s="1" t="s">
        <v>261</v>
      </c>
      <c r="C3" s="1" t="s">
        <v>268</v>
      </c>
      <c r="D3" s="1" t="s">
        <v>497</v>
      </c>
      <c r="E3" s="4">
        <v>45916</v>
      </c>
      <c r="F3" s="1" t="s">
        <v>18</v>
      </c>
      <c r="G3" s="1" t="s">
        <v>263</v>
      </c>
      <c r="H3" s="1" t="s">
        <v>216</v>
      </c>
      <c r="I3" s="3" t="s">
        <v>223</v>
      </c>
      <c r="J3" s="1" t="s">
        <v>269</v>
      </c>
      <c r="K3" s="1" t="s">
        <v>265</v>
      </c>
      <c r="L3" s="1" t="s">
        <v>19</v>
      </c>
      <c r="M3" s="1" t="s">
        <v>220</v>
      </c>
    </row>
    <row r="4" spans="1:13" ht="45" x14ac:dyDescent="0.25">
      <c r="A4" s="1" t="s">
        <v>267</v>
      </c>
      <c r="B4" s="1" t="s">
        <v>261</v>
      </c>
      <c r="C4" s="1" t="s">
        <v>271</v>
      </c>
      <c r="D4" s="1" t="s">
        <v>497</v>
      </c>
      <c r="E4" s="4">
        <v>45916</v>
      </c>
      <c r="F4" s="1" t="s">
        <v>18</v>
      </c>
      <c r="G4" s="1" t="s">
        <v>263</v>
      </c>
      <c r="H4" s="1" t="s">
        <v>216</v>
      </c>
      <c r="I4" s="3" t="s">
        <v>217</v>
      </c>
      <c r="J4" s="1" t="s">
        <v>272</v>
      </c>
      <c r="K4" s="1" t="s">
        <v>265</v>
      </c>
      <c r="L4" s="1" t="s">
        <v>19</v>
      </c>
      <c r="M4" s="1" t="s">
        <v>220</v>
      </c>
    </row>
    <row r="5" spans="1:13" ht="45" x14ac:dyDescent="0.25">
      <c r="A5" s="1" t="s">
        <v>270</v>
      </c>
      <c r="B5" s="1" t="s">
        <v>261</v>
      </c>
      <c r="C5" s="1" t="s">
        <v>274</v>
      </c>
      <c r="D5" s="1" t="s">
        <v>497</v>
      </c>
      <c r="E5" s="4">
        <v>45916</v>
      </c>
      <c r="F5" s="1" t="s">
        <v>18</v>
      </c>
      <c r="G5" s="1" t="s">
        <v>263</v>
      </c>
      <c r="H5" s="1" t="s">
        <v>216</v>
      </c>
      <c r="I5" s="3" t="s">
        <v>217</v>
      </c>
      <c r="J5" s="1" t="s">
        <v>275</v>
      </c>
      <c r="K5" s="1" t="s">
        <v>265</v>
      </c>
      <c r="L5" s="1" t="s">
        <v>19</v>
      </c>
      <c r="M5" s="1" t="s">
        <v>220</v>
      </c>
    </row>
    <row r="6" spans="1:13" ht="45" x14ac:dyDescent="0.25">
      <c r="A6" s="1" t="s">
        <v>273</v>
      </c>
      <c r="B6" s="1" t="s">
        <v>261</v>
      </c>
      <c r="C6" s="1" t="s">
        <v>277</v>
      </c>
      <c r="D6" s="1" t="s">
        <v>497</v>
      </c>
      <c r="E6" s="4">
        <v>45916</v>
      </c>
      <c r="F6" s="1" t="s">
        <v>18</v>
      </c>
      <c r="G6" s="1" t="s">
        <v>263</v>
      </c>
      <c r="H6" s="1" t="s">
        <v>216</v>
      </c>
      <c r="I6" s="3" t="s">
        <v>217</v>
      </c>
      <c r="J6" s="1" t="s">
        <v>278</v>
      </c>
      <c r="K6" s="1" t="s">
        <v>265</v>
      </c>
      <c r="L6" s="1" t="s">
        <v>19</v>
      </c>
      <c r="M6" s="1" t="s">
        <v>220</v>
      </c>
    </row>
    <row r="7" spans="1:13" ht="45" x14ac:dyDescent="0.25">
      <c r="A7" s="1" t="s">
        <v>276</v>
      </c>
      <c r="B7" s="1" t="s">
        <v>261</v>
      </c>
      <c r="C7" s="1" t="s">
        <v>280</v>
      </c>
      <c r="D7" s="1" t="s">
        <v>497</v>
      </c>
      <c r="E7" s="4">
        <v>45916</v>
      </c>
      <c r="F7" s="1" t="s">
        <v>18</v>
      </c>
      <c r="G7" s="1" t="s">
        <v>263</v>
      </c>
      <c r="H7" s="1" t="s">
        <v>216</v>
      </c>
      <c r="I7" s="3" t="s">
        <v>217</v>
      </c>
      <c r="J7" s="1" t="s">
        <v>281</v>
      </c>
      <c r="K7" s="1" t="s">
        <v>265</v>
      </c>
      <c r="L7" s="1" t="s">
        <v>19</v>
      </c>
      <c r="M7" s="1" t="s">
        <v>220</v>
      </c>
    </row>
    <row r="8" spans="1:13" ht="45" x14ac:dyDescent="0.25">
      <c r="A8" s="1" t="s">
        <v>279</v>
      </c>
      <c r="B8" s="1" t="s">
        <v>261</v>
      </c>
      <c r="C8" s="1" t="s">
        <v>283</v>
      </c>
      <c r="D8" s="1" t="s">
        <v>497</v>
      </c>
      <c r="E8" s="4">
        <v>45916</v>
      </c>
      <c r="F8" s="1" t="s">
        <v>18</v>
      </c>
      <c r="G8" s="1" t="s">
        <v>263</v>
      </c>
      <c r="H8" s="1" t="s">
        <v>216</v>
      </c>
      <c r="I8" s="3" t="s">
        <v>217</v>
      </c>
      <c r="J8" s="1" t="s">
        <v>284</v>
      </c>
      <c r="K8" s="1" t="s">
        <v>265</v>
      </c>
      <c r="L8" s="1" t="s">
        <v>19</v>
      </c>
      <c r="M8" s="1" t="s">
        <v>220</v>
      </c>
    </row>
    <row r="9" spans="1:13" ht="45" x14ac:dyDescent="0.25">
      <c r="A9" s="1" t="s">
        <v>282</v>
      </c>
      <c r="B9" s="1" t="s">
        <v>261</v>
      </c>
      <c r="C9" s="1" t="s">
        <v>286</v>
      </c>
      <c r="D9" s="1" t="s">
        <v>497</v>
      </c>
      <c r="E9" s="4">
        <v>45916</v>
      </c>
      <c r="F9" s="1" t="s">
        <v>18</v>
      </c>
      <c r="G9" s="1" t="s">
        <v>263</v>
      </c>
      <c r="H9" s="1" t="s">
        <v>216</v>
      </c>
      <c r="I9" s="3" t="s">
        <v>217</v>
      </c>
      <c r="J9" s="1" t="s">
        <v>287</v>
      </c>
      <c r="K9" s="1" t="s">
        <v>265</v>
      </c>
      <c r="L9" s="1" t="s">
        <v>19</v>
      </c>
      <c r="M9" s="1" t="s">
        <v>220</v>
      </c>
    </row>
    <row r="10" spans="1:13" ht="45" x14ac:dyDescent="0.25">
      <c r="A10" s="1" t="s">
        <v>285</v>
      </c>
      <c r="B10" s="1" t="s">
        <v>261</v>
      </c>
      <c r="C10" s="1" t="s">
        <v>289</v>
      </c>
      <c r="D10" s="1" t="s">
        <v>497</v>
      </c>
      <c r="E10" s="4">
        <v>45916</v>
      </c>
      <c r="F10" s="1" t="s">
        <v>18</v>
      </c>
      <c r="G10" s="1" t="s">
        <v>263</v>
      </c>
      <c r="H10" s="1" t="s">
        <v>216</v>
      </c>
      <c r="I10" s="3" t="s">
        <v>217</v>
      </c>
      <c r="J10" s="1" t="s">
        <v>290</v>
      </c>
      <c r="K10" s="1" t="s">
        <v>265</v>
      </c>
      <c r="L10" s="1" t="s">
        <v>19</v>
      </c>
      <c r="M10" s="1" t="s">
        <v>220</v>
      </c>
    </row>
    <row r="11" spans="1:13" ht="45" x14ac:dyDescent="0.25">
      <c r="A11" s="1" t="s">
        <v>288</v>
      </c>
      <c r="B11" s="1" t="s">
        <v>261</v>
      </c>
      <c r="C11" s="1" t="s">
        <v>291</v>
      </c>
      <c r="D11" s="1" t="s">
        <v>497</v>
      </c>
      <c r="E11" s="4">
        <v>45916</v>
      </c>
      <c r="F11" s="1" t="s">
        <v>18</v>
      </c>
      <c r="G11" s="1" t="s">
        <v>263</v>
      </c>
      <c r="H11" s="1" t="s">
        <v>216</v>
      </c>
      <c r="I11" s="3" t="s">
        <v>217</v>
      </c>
      <c r="J11" s="1" t="s">
        <v>292</v>
      </c>
      <c r="K11" s="1" t="s">
        <v>265</v>
      </c>
      <c r="L11" s="1" t="s">
        <v>19</v>
      </c>
      <c r="M11" s="1" t="s">
        <v>220</v>
      </c>
    </row>
    <row r="12" spans="1:13" x14ac:dyDescent="0.25">
      <c r="A12" s="1"/>
      <c r="B12" s="1"/>
      <c r="D12" s="1"/>
      <c r="E12" s="4"/>
      <c r="F12" s="1"/>
      <c r="H12" s="1"/>
      <c r="I12" s="3"/>
      <c r="K12" s="1"/>
      <c r="L12" s="1"/>
      <c r="M12" s="1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1"/>
  <sheetViews>
    <sheetView topLeftCell="A7" workbookViewId="0">
      <selection activeCell="C21" sqref="C21"/>
    </sheetView>
  </sheetViews>
  <sheetFormatPr defaultRowHeight="15" x14ac:dyDescent="0.25"/>
  <cols>
    <col min="1" max="1" width="11.5703125" bestFit="1" customWidth="1"/>
    <col min="2" max="2" width="12.7109375" bestFit="1" customWidth="1"/>
    <col min="3" max="3" width="64.28515625" bestFit="1" customWidth="1"/>
    <col min="4" max="4" width="19.140625" customWidth="1"/>
    <col min="5" max="5" width="14.42578125" bestFit="1" customWidth="1"/>
    <col min="6" max="6" width="13.42578125" bestFit="1" customWidth="1"/>
    <col min="7" max="7" width="36.85546875" bestFit="1" customWidth="1"/>
    <col min="8" max="8" width="22.5703125" bestFit="1" customWidth="1"/>
    <col min="9" max="9" width="16.5703125" customWidth="1"/>
    <col min="10" max="10" width="55" bestFit="1" customWidth="1"/>
    <col min="11" max="11" width="31.7109375" bestFit="1" customWidth="1"/>
    <col min="12" max="12" width="16.28515625" bestFit="1" customWidth="1"/>
    <col min="13" max="13" width="42.8554687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05" x14ac:dyDescent="0.25">
      <c r="A2" s="1" t="s">
        <v>293</v>
      </c>
      <c r="B2" s="1" t="s">
        <v>294</v>
      </c>
      <c r="C2" s="1" t="s">
        <v>295</v>
      </c>
      <c r="D2" s="1" t="s">
        <v>497</v>
      </c>
      <c r="E2" s="4">
        <v>45919</v>
      </c>
      <c r="F2" s="1" t="s">
        <v>18</v>
      </c>
      <c r="G2" s="1" t="s">
        <v>263</v>
      </c>
      <c r="H2" s="1" t="s">
        <v>216</v>
      </c>
      <c r="I2" s="3" t="s">
        <v>217</v>
      </c>
      <c r="J2" s="1" t="s">
        <v>296</v>
      </c>
      <c r="K2" s="1" t="s">
        <v>297</v>
      </c>
      <c r="L2" s="1" t="s">
        <v>19</v>
      </c>
      <c r="M2" s="1" t="s">
        <v>220</v>
      </c>
    </row>
    <row r="3" spans="1:13" ht="60" x14ac:dyDescent="0.25">
      <c r="A3" s="1" t="s">
        <v>298</v>
      </c>
      <c r="B3" s="1" t="s">
        <v>294</v>
      </c>
      <c r="C3" s="1" t="s">
        <v>299</v>
      </c>
      <c r="D3" s="1" t="s">
        <v>497</v>
      </c>
      <c r="E3" s="4">
        <v>45919</v>
      </c>
      <c r="F3" s="1" t="s">
        <v>18</v>
      </c>
      <c r="G3" s="1" t="s">
        <v>263</v>
      </c>
      <c r="H3" s="1" t="s">
        <v>216</v>
      </c>
      <c r="I3" s="3" t="s">
        <v>217</v>
      </c>
      <c r="J3" s="1" t="s">
        <v>300</v>
      </c>
      <c r="K3" s="1" t="s">
        <v>297</v>
      </c>
      <c r="L3" s="1" t="s">
        <v>19</v>
      </c>
      <c r="M3" s="1" t="s">
        <v>220</v>
      </c>
    </row>
    <row r="4" spans="1:13" ht="60" x14ac:dyDescent="0.25">
      <c r="A4" s="1" t="s">
        <v>301</v>
      </c>
      <c r="B4" s="1" t="s">
        <v>294</v>
      </c>
      <c r="C4" s="1" t="s">
        <v>302</v>
      </c>
      <c r="D4" s="1" t="s">
        <v>497</v>
      </c>
      <c r="E4" s="4">
        <v>45919</v>
      </c>
      <c r="F4" s="1" t="s">
        <v>18</v>
      </c>
      <c r="G4" s="1" t="s">
        <v>263</v>
      </c>
      <c r="H4" s="1" t="s">
        <v>216</v>
      </c>
      <c r="I4" s="3" t="s">
        <v>217</v>
      </c>
      <c r="J4" s="1" t="s">
        <v>303</v>
      </c>
      <c r="K4" s="1" t="s">
        <v>297</v>
      </c>
      <c r="L4" s="1" t="s">
        <v>19</v>
      </c>
      <c r="M4" s="1" t="s">
        <v>220</v>
      </c>
    </row>
    <row r="5" spans="1:13" ht="60" x14ac:dyDescent="0.25">
      <c r="A5" s="1" t="s">
        <v>304</v>
      </c>
      <c r="B5" s="1" t="s">
        <v>294</v>
      </c>
      <c r="C5" s="1" t="s">
        <v>305</v>
      </c>
      <c r="D5" s="1" t="s">
        <v>497</v>
      </c>
      <c r="E5" s="4">
        <v>45919</v>
      </c>
      <c r="F5" s="1" t="s">
        <v>18</v>
      </c>
      <c r="G5" s="1" t="s">
        <v>263</v>
      </c>
      <c r="H5" s="1" t="s">
        <v>216</v>
      </c>
      <c r="I5" s="3" t="s">
        <v>217</v>
      </c>
      <c r="J5" s="1" t="s">
        <v>306</v>
      </c>
      <c r="K5" s="1" t="s">
        <v>297</v>
      </c>
      <c r="L5" s="1" t="s">
        <v>19</v>
      </c>
      <c r="M5" s="1" t="s">
        <v>220</v>
      </c>
    </row>
    <row r="6" spans="1:13" ht="60" x14ac:dyDescent="0.25">
      <c r="A6" s="1" t="s">
        <v>307</v>
      </c>
      <c r="B6" s="1" t="s">
        <v>294</v>
      </c>
      <c r="C6" s="1" t="s">
        <v>308</v>
      </c>
      <c r="D6" s="1" t="s">
        <v>497</v>
      </c>
      <c r="E6" s="4">
        <v>45919</v>
      </c>
      <c r="F6" s="1" t="s">
        <v>18</v>
      </c>
      <c r="G6" s="1" t="s">
        <v>263</v>
      </c>
      <c r="H6" s="1" t="s">
        <v>216</v>
      </c>
      <c r="I6" s="3" t="s">
        <v>217</v>
      </c>
      <c r="J6" s="1" t="s">
        <v>309</v>
      </c>
      <c r="K6" s="1" t="s">
        <v>297</v>
      </c>
      <c r="L6" s="1" t="s">
        <v>19</v>
      </c>
      <c r="M6" s="1" t="s">
        <v>220</v>
      </c>
    </row>
    <row r="7" spans="1:13" ht="60" x14ac:dyDescent="0.25">
      <c r="A7" s="1" t="s">
        <v>310</v>
      </c>
      <c r="B7" s="1" t="s">
        <v>294</v>
      </c>
      <c r="C7" s="1" t="s">
        <v>311</v>
      </c>
      <c r="D7" s="1" t="s">
        <v>497</v>
      </c>
      <c r="E7" s="4">
        <v>45919</v>
      </c>
      <c r="F7" s="1" t="s">
        <v>18</v>
      </c>
      <c r="G7" s="1" t="s">
        <v>263</v>
      </c>
      <c r="H7" s="1" t="s">
        <v>216</v>
      </c>
      <c r="I7" s="3" t="s">
        <v>217</v>
      </c>
      <c r="J7" s="1" t="s">
        <v>312</v>
      </c>
      <c r="K7" s="1" t="s">
        <v>297</v>
      </c>
      <c r="L7" s="1" t="s">
        <v>19</v>
      </c>
      <c r="M7" s="1" t="s">
        <v>220</v>
      </c>
    </row>
    <row r="8" spans="1:13" ht="60" x14ac:dyDescent="0.25">
      <c r="A8" s="1" t="s">
        <v>313</v>
      </c>
      <c r="B8" s="1" t="s">
        <v>294</v>
      </c>
      <c r="C8" s="1" t="s">
        <v>314</v>
      </c>
      <c r="D8" s="1" t="s">
        <v>497</v>
      </c>
      <c r="E8" s="4">
        <v>45919</v>
      </c>
      <c r="F8" s="1" t="s">
        <v>18</v>
      </c>
      <c r="G8" s="1" t="s">
        <v>263</v>
      </c>
      <c r="H8" s="1" t="s">
        <v>216</v>
      </c>
      <c r="I8" s="3" t="s">
        <v>217</v>
      </c>
      <c r="J8" s="1" t="s">
        <v>315</v>
      </c>
      <c r="K8" s="1" t="s">
        <v>297</v>
      </c>
      <c r="L8" s="1" t="s">
        <v>19</v>
      </c>
      <c r="M8" s="1" t="s">
        <v>220</v>
      </c>
    </row>
    <row r="9" spans="1:13" ht="60" x14ac:dyDescent="0.25">
      <c r="A9" s="1" t="s">
        <v>316</v>
      </c>
      <c r="B9" s="1" t="s">
        <v>294</v>
      </c>
      <c r="C9" s="1" t="s">
        <v>317</v>
      </c>
      <c r="D9" s="1" t="s">
        <v>497</v>
      </c>
      <c r="E9" s="4">
        <v>45919</v>
      </c>
      <c r="F9" s="1" t="s">
        <v>18</v>
      </c>
      <c r="G9" s="1" t="s">
        <v>263</v>
      </c>
      <c r="H9" s="1" t="s">
        <v>216</v>
      </c>
      <c r="I9" s="3" t="s">
        <v>217</v>
      </c>
      <c r="J9" s="1" t="s">
        <v>318</v>
      </c>
      <c r="K9" s="1" t="s">
        <v>297</v>
      </c>
      <c r="L9" s="1" t="s">
        <v>19</v>
      </c>
      <c r="M9" s="1" t="s">
        <v>220</v>
      </c>
    </row>
    <row r="10" spans="1:13" ht="60" x14ac:dyDescent="0.25">
      <c r="A10" s="1" t="s">
        <v>319</v>
      </c>
      <c r="B10" s="1" t="s">
        <v>294</v>
      </c>
      <c r="C10" s="1" t="s">
        <v>320</v>
      </c>
      <c r="D10" s="1" t="s">
        <v>497</v>
      </c>
      <c r="E10" s="4">
        <v>45919</v>
      </c>
      <c r="F10" s="1" t="s">
        <v>18</v>
      </c>
      <c r="G10" s="1" t="s">
        <v>263</v>
      </c>
      <c r="H10" s="1" t="s">
        <v>216</v>
      </c>
      <c r="I10" s="3" t="s">
        <v>217</v>
      </c>
      <c r="J10" s="1" t="s">
        <v>321</v>
      </c>
      <c r="K10" s="1" t="s">
        <v>297</v>
      </c>
      <c r="L10" s="1" t="s">
        <v>19</v>
      </c>
      <c r="M10" s="1" t="s">
        <v>220</v>
      </c>
    </row>
    <row r="11" spans="1:13" x14ac:dyDescent="0.25">
      <c r="A11" s="1"/>
      <c r="B11" s="1"/>
      <c r="C11" s="13"/>
      <c r="D11" s="1"/>
      <c r="E11" s="4"/>
      <c r="F11" s="1"/>
      <c r="G11" s="1"/>
      <c r="H11" s="1"/>
      <c r="I11" s="3"/>
      <c r="J11" s="1"/>
      <c r="K11" s="1"/>
      <c r="L11" s="13"/>
      <c r="M11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1"/>
  <sheetViews>
    <sheetView topLeftCell="D13" zoomScale="70" zoomScaleNormal="70" workbookViewId="0">
      <selection activeCell="L2" sqref="L2"/>
    </sheetView>
  </sheetViews>
  <sheetFormatPr defaultRowHeight="15" x14ac:dyDescent="0.25"/>
  <cols>
    <col min="2" max="2" width="11.42578125" bestFit="1" customWidth="1"/>
    <col min="3" max="3" width="93.42578125" customWidth="1"/>
    <col min="4" max="4" width="26.42578125" customWidth="1"/>
    <col min="5" max="5" width="15.7109375" bestFit="1" customWidth="1"/>
    <col min="6" max="6" width="13.42578125" bestFit="1" customWidth="1"/>
    <col min="7" max="7" width="36.85546875" bestFit="1" customWidth="1"/>
    <col min="8" max="8" width="33.42578125" customWidth="1"/>
    <col min="9" max="9" width="29.28515625" customWidth="1"/>
    <col min="10" max="10" width="67.28515625" bestFit="1" customWidth="1"/>
    <col min="11" max="11" width="40.28515625" bestFit="1" customWidth="1"/>
    <col min="12" max="12" width="16.28515625" bestFit="1" customWidth="1"/>
    <col min="13" max="13" width="42.42578125" bestFit="1" customWidth="1"/>
  </cols>
  <sheetData>
    <row r="1" spans="1:13" ht="2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 ht="63" x14ac:dyDescent="0.35">
      <c r="A2" s="7" t="s">
        <v>324</v>
      </c>
      <c r="B2" s="7" t="s">
        <v>325</v>
      </c>
      <c r="C2" s="7" t="s">
        <v>326</v>
      </c>
      <c r="D2" s="7" t="s">
        <v>497</v>
      </c>
      <c r="E2" s="8">
        <v>45918</v>
      </c>
      <c r="F2" s="7" t="s">
        <v>18</v>
      </c>
      <c r="G2" s="7" t="s">
        <v>263</v>
      </c>
      <c r="H2" s="7" t="s">
        <v>216</v>
      </c>
      <c r="I2" s="9" t="s">
        <v>327</v>
      </c>
      <c r="J2" s="7" t="s">
        <v>296</v>
      </c>
      <c r="K2" s="7" t="s">
        <v>328</v>
      </c>
      <c r="L2" s="7" t="s">
        <v>19</v>
      </c>
      <c r="M2" s="7" t="s">
        <v>92</v>
      </c>
    </row>
    <row r="3" spans="1:13" ht="63" x14ac:dyDescent="0.35">
      <c r="A3" s="7" t="s">
        <v>329</v>
      </c>
      <c r="B3" s="7" t="s">
        <v>325</v>
      </c>
      <c r="C3" s="7" t="s">
        <v>330</v>
      </c>
      <c r="D3" s="7" t="s">
        <v>497</v>
      </c>
      <c r="E3" s="8">
        <v>45918</v>
      </c>
      <c r="F3" s="7" t="s">
        <v>18</v>
      </c>
      <c r="G3" s="7" t="s">
        <v>263</v>
      </c>
      <c r="H3" s="7" t="s">
        <v>216</v>
      </c>
      <c r="I3" s="9" t="s">
        <v>327</v>
      </c>
      <c r="J3" s="7" t="s">
        <v>331</v>
      </c>
      <c r="K3" s="7" t="s">
        <v>328</v>
      </c>
      <c r="L3" s="7" t="s">
        <v>19</v>
      </c>
      <c r="M3" s="7" t="s">
        <v>92</v>
      </c>
    </row>
    <row r="4" spans="1:13" ht="63" x14ac:dyDescent="0.35">
      <c r="A4" s="7" t="s">
        <v>332</v>
      </c>
      <c r="B4" s="7" t="s">
        <v>325</v>
      </c>
      <c r="C4" s="7" t="s">
        <v>333</v>
      </c>
      <c r="D4" s="7" t="s">
        <v>497</v>
      </c>
      <c r="E4" s="8">
        <v>45918</v>
      </c>
      <c r="F4" s="7" t="s">
        <v>18</v>
      </c>
      <c r="G4" s="7" t="s">
        <v>263</v>
      </c>
      <c r="H4" s="7" t="s">
        <v>216</v>
      </c>
      <c r="I4" s="9" t="s">
        <v>327</v>
      </c>
      <c r="J4" s="7" t="s">
        <v>334</v>
      </c>
      <c r="K4" s="7" t="s">
        <v>328</v>
      </c>
      <c r="L4" s="7" t="s">
        <v>19</v>
      </c>
      <c r="M4" s="7" t="s">
        <v>92</v>
      </c>
    </row>
    <row r="5" spans="1:13" ht="63" x14ac:dyDescent="0.35">
      <c r="A5" s="7" t="s">
        <v>335</v>
      </c>
      <c r="B5" s="7" t="s">
        <v>325</v>
      </c>
      <c r="C5" s="7" t="s">
        <v>336</v>
      </c>
      <c r="D5" s="7" t="s">
        <v>497</v>
      </c>
      <c r="E5" s="8">
        <v>45918</v>
      </c>
      <c r="F5" s="7" t="s">
        <v>18</v>
      </c>
      <c r="G5" s="7" t="s">
        <v>263</v>
      </c>
      <c r="H5" s="7" t="s">
        <v>216</v>
      </c>
      <c r="I5" s="9" t="s">
        <v>327</v>
      </c>
      <c r="J5" s="7" t="s">
        <v>337</v>
      </c>
      <c r="K5" s="7" t="s">
        <v>328</v>
      </c>
      <c r="L5" s="7" t="s">
        <v>19</v>
      </c>
      <c r="M5" s="7" t="s">
        <v>92</v>
      </c>
    </row>
    <row r="6" spans="1:13" ht="63" x14ac:dyDescent="0.35">
      <c r="A6" s="7" t="s">
        <v>338</v>
      </c>
      <c r="B6" s="7" t="s">
        <v>325</v>
      </c>
      <c r="C6" s="7" t="s">
        <v>339</v>
      </c>
      <c r="D6" s="7" t="s">
        <v>497</v>
      </c>
      <c r="E6" s="8">
        <v>45918</v>
      </c>
      <c r="F6" s="7" t="s">
        <v>18</v>
      </c>
      <c r="G6" s="7" t="s">
        <v>263</v>
      </c>
      <c r="H6" s="7" t="s">
        <v>216</v>
      </c>
      <c r="I6" s="9" t="s">
        <v>327</v>
      </c>
      <c r="J6" s="7" t="s">
        <v>340</v>
      </c>
      <c r="K6" s="7" t="s">
        <v>328</v>
      </c>
      <c r="L6" s="7" t="s">
        <v>19</v>
      </c>
      <c r="M6" s="7" t="s">
        <v>92</v>
      </c>
    </row>
    <row r="7" spans="1:13" ht="63" x14ac:dyDescent="0.35">
      <c r="A7" s="7" t="s">
        <v>341</v>
      </c>
      <c r="B7" s="7" t="s">
        <v>325</v>
      </c>
      <c r="C7" s="7" t="s">
        <v>574</v>
      </c>
      <c r="D7" s="7" t="s">
        <v>497</v>
      </c>
      <c r="E7" s="8">
        <v>45918</v>
      </c>
      <c r="F7" s="7" t="s">
        <v>18</v>
      </c>
      <c r="G7" s="7" t="s">
        <v>263</v>
      </c>
      <c r="H7" s="7" t="s">
        <v>216</v>
      </c>
      <c r="I7" s="9" t="s">
        <v>327</v>
      </c>
      <c r="J7" s="7" t="s">
        <v>342</v>
      </c>
      <c r="K7" s="7" t="s">
        <v>328</v>
      </c>
      <c r="L7" s="7" t="s">
        <v>19</v>
      </c>
      <c r="M7" s="7" t="s">
        <v>507</v>
      </c>
    </row>
    <row r="8" spans="1:13" ht="63" x14ac:dyDescent="0.35">
      <c r="A8" s="7" t="s">
        <v>343</v>
      </c>
      <c r="B8" s="7" t="s">
        <v>325</v>
      </c>
      <c r="C8" s="7" t="s">
        <v>344</v>
      </c>
      <c r="D8" s="7" t="s">
        <v>497</v>
      </c>
      <c r="E8" s="8">
        <v>45918</v>
      </c>
      <c r="F8" s="7" t="s">
        <v>18</v>
      </c>
      <c r="G8" s="7" t="s">
        <v>263</v>
      </c>
      <c r="H8" s="7" t="s">
        <v>216</v>
      </c>
      <c r="I8" s="9" t="s">
        <v>327</v>
      </c>
      <c r="J8" s="7" t="s">
        <v>345</v>
      </c>
      <c r="K8" s="7" t="s">
        <v>328</v>
      </c>
      <c r="L8" s="7" t="s">
        <v>19</v>
      </c>
      <c r="M8" s="7" t="s">
        <v>92</v>
      </c>
    </row>
    <row r="9" spans="1:13" ht="63" x14ac:dyDescent="0.35">
      <c r="A9" s="7" t="s">
        <v>346</v>
      </c>
      <c r="B9" s="7" t="s">
        <v>325</v>
      </c>
      <c r="C9" s="7" t="s">
        <v>347</v>
      </c>
      <c r="D9" s="7" t="s">
        <v>497</v>
      </c>
      <c r="E9" s="8">
        <v>45918</v>
      </c>
      <c r="F9" s="7" t="s">
        <v>18</v>
      </c>
      <c r="G9" s="7" t="s">
        <v>263</v>
      </c>
      <c r="H9" s="7" t="s">
        <v>216</v>
      </c>
      <c r="I9" s="9" t="s">
        <v>327</v>
      </c>
      <c r="J9" s="7" t="s">
        <v>348</v>
      </c>
      <c r="K9" s="7" t="s">
        <v>328</v>
      </c>
      <c r="L9" s="7" t="s">
        <v>19</v>
      </c>
      <c r="M9" s="7" t="s">
        <v>92</v>
      </c>
    </row>
    <row r="10" spans="1:13" ht="63" x14ac:dyDescent="0.35">
      <c r="A10" s="7" t="s">
        <v>349</v>
      </c>
      <c r="B10" s="7" t="s">
        <v>325</v>
      </c>
      <c r="C10" s="7" t="s">
        <v>350</v>
      </c>
      <c r="D10" s="7" t="s">
        <v>497</v>
      </c>
      <c r="E10" s="8">
        <v>45918</v>
      </c>
      <c r="F10" s="7" t="s">
        <v>18</v>
      </c>
      <c r="G10" s="7" t="s">
        <v>263</v>
      </c>
      <c r="H10" s="7" t="s">
        <v>216</v>
      </c>
      <c r="I10" s="9" t="s">
        <v>327</v>
      </c>
      <c r="J10" s="7" t="s">
        <v>351</v>
      </c>
      <c r="K10" s="7" t="s">
        <v>328</v>
      </c>
      <c r="L10" s="7" t="s">
        <v>19</v>
      </c>
      <c r="M10" s="7" t="s">
        <v>92</v>
      </c>
    </row>
    <row r="11" spans="1:13" ht="63" x14ac:dyDescent="0.35">
      <c r="A11" s="7" t="s">
        <v>352</v>
      </c>
      <c r="B11" s="7" t="s">
        <v>325</v>
      </c>
      <c r="C11" s="7" t="s">
        <v>322</v>
      </c>
      <c r="D11" s="7" t="s">
        <v>497</v>
      </c>
      <c r="E11" s="8">
        <v>45918</v>
      </c>
      <c r="F11" s="7" t="s">
        <v>18</v>
      </c>
      <c r="G11" s="7" t="s">
        <v>263</v>
      </c>
      <c r="H11" s="7" t="s">
        <v>216</v>
      </c>
      <c r="I11" s="9" t="s">
        <v>327</v>
      </c>
      <c r="J11" s="7" t="s">
        <v>323</v>
      </c>
      <c r="K11" s="7" t="s">
        <v>328</v>
      </c>
      <c r="L11" s="7" t="s">
        <v>19</v>
      </c>
      <c r="M11" s="7" t="s">
        <v>92</v>
      </c>
    </row>
  </sheetData>
  <dataValidations count="1">
    <dataValidation type="list" allowBlank="1" showInputMessage="1" showErrorMessage="1" sqref="L2:L11" xr:uid="{28C7D681-9093-45D4-915D-65FE172B6DA0}">
      <formula1>"Pass,Fail,Invalid"</formula1>
    </dataValidation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2"/>
  <sheetViews>
    <sheetView tabSelected="1" topLeftCell="B1" workbookViewId="0">
      <selection activeCell="D8" sqref="D8"/>
    </sheetView>
  </sheetViews>
  <sheetFormatPr defaultRowHeight="15" x14ac:dyDescent="0.25"/>
  <cols>
    <col min="1" max="1" width="11.5703125" bestFit="1" customWidth="1"/>
    <col min="2" max="2" width="14.85546875" bestFit="1" customWidth="1"/>
    <col min="3" max="3" width="60.7109375" bestFit="1" customWidth="1"/>
    <col min="4" max="4" width="19.5703125" customWidth="1"/>
    <col min="5" max="5" width="14.42578125" bestFit="1" customWidth="1"/>
    <col min="6" max="6" width="13.42578125" bestFit="1" customWidth="1"/>
    <col min="7" max="7" width="36.85546875" bestFit="1" customWidth="1"/>
    <col min="8" max="8" width="22.5703125" bestFit="1" customWidth="1"/>
    <col min="9" max="9" width="26.7109375" customWidth="1"/>
    <col min="10" max="10" width="55.42578125" bestFit="1" customWidth="1"/>
    <col min="11" max="11" width="33.140625" bestFit="1" customWidth="1"/>
    <col min="12" max="12" width="16.28515625" bestFit="1" customWidth="1"/>
    <col min="13" max="13" width="45.7109375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30" x14ac:dyDescent="0.25">
      <c r="A2" s="1" t="s">
        <v>353</v>
      </c>
      <c r="B2" s="1" t="s">
        <v>354</v>
      </c>
      <c r="C2" s="1" t="s">
        <v>326</v>
      </c>
      <c r="D2" s="1" t="s">
        <v>583</v>
      </c>
      <c r="E2" s="4">
        <v>45919</v>
      </c>
      <c r="F2" s="1" t="s">
        <v>18</v>
      </c>
      <c r="G2" s="1" t="s">
        <v>263</v>
      </c>
      <c r="H2" s="1" t="s">
        <v>216</v>
      </c>
      <c r="I2" s="3" t="s">
        <v>327</v>
      </c>
      <c r="J2" s="1" t="s">
        <v>296</v>
      </c>
      <c r="K2" s="1" t="s">
        <v>355</v>
      </c>
      <c r="L2" s="1" t="s">
        <v>19</v>
      </c>
      <c r="M2" s="1" t="s">
        <v>92</v>
      </c>
    </row>
    <row r="3" spans="1:13" ht="30" x14ac:dyDescent="0.25">
      <c r="A3" s="1" t="s">
        <v>356</v>
      </c>
      <c r="B3" s="1" t="s">
        <v>354</v>
      </c>
      <c r="C3" s="1" t="s">
        <v>357</v>
      </c>
      <c r="D3" s="1" t="s">
        <v>583</v>
      </c>
      <c r="E3" s="4">
        <v>45919</v>
      </c>
      <c r="F3" s="1" t="s">
        <v>18</v>
      </c>
      <c r="G3" s="1" t="s">
        <v>263</v>
      </c>
      <c r="H3" s="1" t="s">
        <v>216</v>
      </c>
      <c r="I3" s="3" t="s">
        <v>327</v>
      </c>
      <c r="J3" s="1" t="s">
        <v>358</v>
      </c>
      <c r="K3" s="1" t="s">
        <v>355</v>
      </c>
      <c r="L3" s="1" t="s">
        <v>19</v>
      </c>
      <c r="M3" s="1" t="s">
        <v>92</v>
      </c>
    </row>
    <row r="4" spans="1:13" ht="30" x14ac:dyDescent="0.25">
      <c r="A4" s="1" t="s">
        <v>359</v>
      </c>
      <c r="B4" s="1" t="s">
        <v>354</v>
      </c>
      <c r="C4" s="1" t="s">
        <v>360</v>
      </c>
      <c r="D4" s="1" t="s">
        <v>583</v>
      </c>
      <c r="E4" s="4">
        <v>45919</v>
      </c>
      <c r="F4" s="1" t="s">
        <v>18</v>
      </c>
      <c r="G4" s="1" t="s">
        <v>263</v>
      </c>
      <c r="H4" s="1" t="s">
        <v>216</v>
      </c>
      <c r="I4" s="3" t="s">
        <v>327</v>
      </c>
      <c r="J4" s="1" t="s">
        <v>361</v>
      </c>
      <c r="K4" s="1" t="s">
        <v>355</v>
      </c>
      <c r="L4" s="1" t="s">
        <v>19</v>
      </c>
      <c r="M4" s="1" t="s">
        <v>92</v>
      </c>
    </row>
    <row r="5" spans="1:13" ht="30" x14ac:dyDescent="0.25">
      <c r="A5" s="1" t="s">
        <v>362</v>
      </c>
      <c r="B5" s="1" t="s">
        <v>354</v>
      </c>
      <c r="C5" s="1" t="s">
        <v>363</v>
      </c>
      <c r="D5" s="1" t="s">
        <v>583</v>
      </c>
      <c r="E5" s="4">
        <v>45919</v>
      </c>
      <c r="F5" s="1" t="s">
        <v>18</v>
      </c>
      <c r="G5" s="1" t="s">
        <v>263</v>
      </c>
      <c r="H5" s="1" t="s">
        <v>216</v>
      </c>
      <c r="I5" s="3" t="s">
        <v>327</v>
      </c>
      <c r="J5" s="1" t="s">
        <v>364</v>
      </c>
      <c r="K5" s="1" t="s">
        <v>355</v>
      </c>
      <c r="L5" s="1" t="s">
        <v>19</v>
      </c>
      <c r="M5" s="1" t="s">
        <v>506</v>
      </c>
    </row>
    <row r="6" spans="1:13" ht="30" x14ac:dyDescent="0.25">
      <c r="A6" s="1" t="s">
        <v>365</v>
      </c>
      <c r="B6" s="1" t="s">
        <v>354</v>
      </c>
      <c r="C6" s="1" t="s">
        <v>366</v>
      </c>
      <c r="D6" s="1" t="s">
        <v>583</v>
      </c>
      <c r="E6" s="4">
        <v>45919</v>
      </c>
      <c r="F6" s="1" t="s">
        <v>18</v>
      </c>
      <c r="G6" s="1" t="s">
        <v>263</v>
      </c>
      <c r="H6" s="1" t="s">
        <v>216</v>
      </c>
      <c r="I6" s="3" t="s">
        <v>327</v>
      </c>
      <c r="J6" s="1" t="s">
        <v>367</v>
      </c>
      <c r="K6" s="1" t="s">
        <v>355</v>
      </c>
      <c r="L6" s="1" t="s">
        <v>19</v>
      </c>
      <c r="M6" s="1" t="s">
        <v>92</v>
      </c>
    </row>
    <row r="7" spans="1:13" ht="30" x14ac:dyDescent="0.25">
      <c r="A7" s="1" t="s">
        <v>368</v>
      </c>
      <c r="B7" s="1" t="s">
        <v>354</v>
      </c>
      <c r="C7" s="1" t="s">
        <v>369</v>
      </c>
      <c r="D7" s="1" t="s">
        <v>583</v>
      </c>
      <c r="E7" s="4">
        <v>45919</v>
      </c>
      <c r="F7" s="1" t="s">
        <v>18</v>
      </c>
      <c r="G7" s="1" t="s">
        <v>263</v>
      </c>
      <c r="H7" s="1" t="s">
        <v>216</v>
      </c>
      <c r="I7" s="3" t="s">
        <v>327</v>
      </c>
      <c r="J7" s="1" t="s">
        <v>370</v>
      </c>
      <c r="K7" s="1" t="s">
        <v>355</v>
      </c>
      <c r="L7" s="1" t="s">
        <v>19</v>
      </c>
      <c r="M7" s="1" t="s">
        <v>92</v>
      </c>
    </row>
    <row r="8" spans="1:13" ht="30" x14ac:dyDescent="0.25">
      <c r="A8" s="1" t="s">
        <v>371</v>
      </c>
      <c r="B8" s="1" t="s">
        <v>354</v>
      </c>
      <c r="C8" s="1" t="s">
        <v>372</v>
      </c>
      <c r="D8" s="1" t="s">
        <v>583</v>
      </c>
      <c r="E8" s="4">
        <v>45919</v>
      </c>
      <c r="F8" s="1" t="s">
        <v>18</v>
      </c>
      <c r="G8" s="1" t="s">
        <v>263</v>
      </c>
      <c r="H8" s="1" t="s">
        <v>216</v>
      </c>
      <c r="I8" s="3" t="s">
        <v>327</v>
      </c>
      <c r="J8" s="1" t="s">
        <v>373</v>
      </c>
      <c r="K8" s="1" t="s">
        <v>355</v>
      </c>
      <c r="L8" s="1" t="s">
        <v>19</v>
      </c>
      <c r="M8" s="1" t="s">
        <v>92</v>
      </c>
    </row>
    <row r="9" spans="1:13" ht="30" x14ac:dyDescent="0.25">
      <c r="A9" s="1" t="s">
        <v>374</v>
      </c>
      <c r="B9" s="1" t="s">
        <v>354</v>
      </c>
      <c r="C9" s="1" t="s">
        <v>375</v>
      </c>
      <c r="D9" s="1" t="s">
        <v>583</v>
      </c>
      <c r="E9" s="4">
        <v>45919</v>
      </c>
      <c r="F9" s="1" t="s">
        <v>18</v>
      </c>
      <c r="G9" s="1" t="s">
        <v>263</v>
      </c>
      <c r="H9" s="1" t="s">
        <v>216</v>
      </c>
      <c r="I9" s="3" t="s">
        <v>327</v>
      </c>
      <c r="J9" s="1" t="s">
        <v>376</v>
      </c>
      <c r="K9" s="1" t="s">
        <v>355</v>
      </c>
      <c r="L9" s="1" t="s">
        <v>19</v>
      </c>
      <c r="M9" s="1" t="s">
        <v>92</v>
      </c>
    </row>
    <row r="10" spans="1:13" ht="30" x14ac:dyDescent="0.25">
      <c r="A10" s="1" t="s">
        <v>377</v>
      </c>
      <c r="B10" s="1" t="s">
        <v>354</v>
      </c>
      <c r="C10" s="1" t="s">
        <v>339</v>
      </c>
      <c r="D10" s="1" t="s">
        <v>583</v>
      </c>
      <c r="E10" s="4">
        <v>45919</v>
      </c>
      <c r="F10" s="1" t="s">
        <v>18</v>
      </c>
      <c r="G10" s="1" t="s">
        <v>263</v>
      </c>
      <c r="H10" s="1" t="s">
        <v>216</v>
      </c>
      <c r="I10" s="3" t="s">
        <v>327</v>
      </c>
      <c r="J10" s="1" t="s">
        <v>378</v>
      </c>
      <c r="K10" s="1" t="s">
        <v>355</v>
      </c>
      <c r="L10" s="1" t="s">
        <v>19</v>
      </c>
      <c r="M10" s="1" t="s">
        <v>92</v>
      </c>
    </row>
    <row r="11" spans="1:13" ht="30" x14ac:dyDescent="0.25">
      <c r="A11" s="1" t="s">
        <v>379</v>
      </c>
      <c r="B11" s="1" t="s">
        <v>354</v>
      </c>
      <c r="C11" s="1" t="s">
        <v>350</v>
      </c>
      <c r="D11" s="1" t="s">
        <v>583</v>
      </c>
      <c r="E11" s="4">
        <v>45919</v>
      </c>
      <c r="F11" s="1" t="s">
        <v>18</v>
      </c>
      <c r="G11" s="1" t="s">
        <v>263</v>
      </c>
      <c r="H11" s="1" t="s">
        <v>216</v>
      </c>
      <c r="I11" s="3" t="s">
        <v>327</v>
      </c>
      <c r="J11" s="1" t="s">
        <v>351</v>
      </c>
      <c r="K11" s="1" t="s">
        <v>355</v>
      </c>
      <c r="L11" s="1" t="s">
        <v>19</v>
      </c>
      <c r="M11" s="1" t="s">
        <v>92</v>
      </c>
    </row>
    <row r="12" spans="1:13" x14ac:dyDescent="0.25">
      <c r="A12" s="1"/>
      <c r="B12" s="1"/>
      <c r="C12" s="13"/>
      <c r="D12" s="1"/>
      <c r="E12" s="4"/>
      <c r="F12" s="1"/>
      <c r="G12" s="1"/>
      <c r="H12" s="1"/>
      <c r="I12" s="3"/>
      <c r="J12" s="1"/>
      <c r="K12" s="1"/>
      <c r="L12" s="13"/>
      <c r="M12" s="1"/>
    </row>
  </sheetData>
  <dataValidations count="1">
    <dataValidation type="list" allowBlank="1" showInputMessage="1" showErrorMessage="1" sqref="L2:L11" xr:uid="{ADF09034-8C05-4248-AEC5-8507D8E5C525}">
      <formula1>"Pass,Fail,Invalid"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2"/>
  <sheetViews>
    <sheetView workbookViewId="0">
      <selection activeCell="A11" sqref="A11"/>
    </sheetView>
  </sheetViews>
  <sheetFormatPr defaultRowHeight="15" x14ac:dyDescent="0.25"/>
  <cols>
    <col min="1" max="1" width="11.5703125" bestFit="1" customWidth="1"/>
    <col min="2" max="2" width="18.85546875" customWidth="1"/>
    <col min="3" max="3" width="48.85546875" customWidth="1"/>
    <col min="4" max="4" width="27.140625" customWidth="1"/>
    <col min="5" max="5" width="14.42578125" bestFit="1" customWidth="1"/>
    <col min="6" max="6" width="14.28515625" customWidth="1"/>
    <col min="7" max="7" width="36.85546875" bestFit="1" customWidth="1"/>
    <col min="8" max="8" width="23" customWidth="1"/>
    <col min="9" max="9" width="22" customWidth="1"/>
    <col min="10" max="10" width="73.7109375" customWidth="1"/>
    <col min="11" max="11" width="68.5703125" customWidth="1"/>
    <col min="12" max="12" width="16.28515625" bestFit="1" customWidth="1"/>
    <col min="13" max="13" width="58.140625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30" x14ac:dyDescent="0.25">
      <c r="A2" s="1" t="s">
        <v>380</v>
      </c>
      <c r="B2" s="1" t="s">
        <v>527</v>
      </c>
      <c r="C2" s="1" t="s">
        <v>381</v>
      </c>
      <c r="D2" s="1" t="s">
        <v>497</v>
      </c>
      <c r="E2" s="4">
        <v>45920</v>
      </c>
      <c r="F2" s="1" t="s">
        <v>18</v>
      </c>
      <c r="G2" s="1" t="s">
        <v>263</v>
      </c>
      <c r="H2" s="1" t="s">
        <v>216</v>
      </c>
      <c r="I2" s="3" t="s">
        <v>327</v>
      </c>
      <c r="J2" s="1" t="s">
        <v>382</v>
      </c>
      <c r="K2" s="1" t="s">
        <v>383</v>
      </c>
      <c r="L2" s="1" t="s">
        <v>19</v>
      </c>
      <c r="M2" s="1" t="s">
        <v>92</v>
      </c>
    </row>
    <row r="3" spans="1:13" ht="30" x14ac:dyDescent="0.25">
      <c r="A3" s="1" t="s">
        <v>384</v>
      </c>
      <c r="B3" s="1" t="s">
        <v>527</v>
      </c>
      <c r="C3" s="1" t="s">
        <v>385</v>
      </c>
      <c r="D3" s="1" t="s">
        <v>497</v>
      </c>
      <c r="E3" s="4">
        <v>45920</v>
      </c>
      <c r="F3" s="1" t="s">
        <v>18</v>
      </c>
      <c r="G3" s="1" t="s">
        <v>263</v>
      </c>
      <c r="H3" s="1" t="s">
        <v>216</v>
      </c>
      <c r="I3" s="3" t="s">
        <v>327</v>
      </c>
      <c r="J3" s="1" t="s">
        <v>386</v>
      </c>
      <c r="K3" s="1" t="s">
        <v>383</v>
      </c>
      <c r="L3" s="1" t="s">
        <v>19</v>
      </c>
      <c r="M3" s="1" t="s">
        <v>92</v>
      </c>
    </row>
    <row r="4" spans="1:13" ht="30" x14ac:dyDescent="0.25">
      <c r="A4" s="1" t="s">
        <v>387</v>
      </c>
      <c r="B4" s="1" t="s">
        <v>527</v>
      </c>
      <c r="C4" s="1" t="s">
        <v>513</v>
      </c>
      <c r="D4" s="1" t="s">
        <v>497</v>
      </c>
      <c r="E4" s="4">
        <v>45920</v>
      </c>
      <c r="F4" s="1" t="s">
        <v>18</v>
      </c>
      <c r="G4" s="1" t="s">
        <v>263</v>
      </c>
      <c r="H4" s="1" t="s">
        <v>216</v>
      </c>
      <c r="I4" s="3" t="s">
        <v>327</v>
      </c>
      <c r="J4" s="1" t="s">
        <v>514</v>
      </c>
      <c r="K4" s="1" t="s">
        <v>383</v>
      </c>
      <c r="L4" s="1" t="s">
        <v>19</v>
      </c>
      <c r="M4" s="1" t="s">
        <v>515</v>
      </c>
    </row>
    <row r="5" spans="1:13" ht="30" x14ac:dyDescent="0.25">
      <c r="A5" s="1" t="s">
        <v>512</v>
      </c>
      <c r="B5" s="1" t="s">
        <v>527</v>
      </c>
      <c r="C5" s="1" t="s">
        <v>517</v>
      </c>
      <c r="D5" s="1" t="s">
        <v>497</v>
      </c>
      <c r="E5" s="4">
        <v>45920</v>
      </c>
      <c r="F5" s="1" t="s">
        <v>18</v>
      </c>
      <c r="G5" s="1" t="s">
        <v>263</v>
      </c>
      <c r="H5" s="1" t="s">
        <v>216</v>
      </c>
      <c r="I5" s="3" t="s">
        <v>327</v>
      </c>
      <c r="J5" s="1" t="s">
        <v>542</v>
      </c>
      <c r="K5" s="1" t="s">
        <v>535</v>
      </c>
      <c r="L5" s="1" t="s">
        <v>19</v>
      </c>
      <c r="M5" s="1" t="s">
        <v>92</v>
      </c>
    </row>
    <row r="6" spans="1:13" ht="30" x14ac:dyDescent="0.25">
      <c r="A6" s="1" t="s">
        <v>516</v>
      </c>
      <c r="B6" s="1" t="s">
        <v>527</v>
      </c>
      <c r="C6" s="1" t="s">
        <v>519</v>
      </c>
      <c r="D6" s="1" t="s">
        <v>497</v>
      </c>
      <c r="E6" s="4">
        <v>45920</v>
      </c>
      <c r="F6" s="1" t="s">
        <v>18</v>
      </c>
      <c r="G6" s="1" t="s">
        <v>263</v>
      </c>
      <c r="H6" s="1" t="s">
        <v>216</v>
      </c>
      <c r="I6" s="3" t="s">
        <v>327</v>
      </c>
      <c r="J6" s="1" t="s">
        <v>522</v>
      </c>
      <c r="K6" s="1" t="s">
        <v>534</v>
      </c>
      <c r="L6" s="1" t="s">
        <v>19</v>
      </c>
      <c r="M6" s="1" t="s">
        <v>92</v>
      </c>
    </row>
    <row r="7" spans="1:13" ht="30" x14ac:dyDescent="0.25">
      <c r="A7" s="1" t="s">
        <v>518</v>
      </c>
      <c r="B7" s="1" t="s">
        <v>527</v>
      </c>
      <c r="C7" s="1" t="s">
        <v>521</v>
      </c>
      <c r="D7" s="1" t="s">
        <v>497</v>
      </c>
      <c r="E7" s="4">
        <v>45920</v>
      </c>
      <c r="F7" s="1" t="s">
        <v>18</v>
      </c>
      <c r="G7" s="1" t="s">
        <v>263</v>
      </c>
      <c r="H7" s="1" t="s">
        <v>216</v>
      </c>
      <c r="I7" s="3" t="s">
        <v>327</v>
      </c>
      <c r="J7" s="1" t="s">
        <v>523</v>
      </c>
      <c r="K7" s="1" t="s">
        <v>536</v>
      </c>
      <c r="L7" s="1" t="s">
        <v>19</v>
      </c>
      <c r="M7" s="1" t="s">
        <v>92</v>
      </c>
    </row>
    <row r="8" spans="1:13" ht="30" x14ac:dyDescent="0.25">
      <c r="A8" s="1" t="s">
        <v>520</v>
      </c>
      <c r="B8" s="1" t="s">
        <v>527</v>
      </c>
      <c r="C8" s="1" t="s">
        <v>524</v>
      </c>
      <c r="D8" s="1" t="s">
        <v>497</v>
      </c>
      <c r="E8" s="4">
        <v>45920</v>
      </c>
      <c r="F8" s="1" t="s">
        <v>18</v>
      </c>
      <c r="G8" s="1" t="s">
        <v>263</v>
      </c>
      <c r="H8" s="1" t="s">
        <v>216</v>
      </c>
      <c r="I8" s="3" t="s">
        <v>327</v>
      </c>
      <c r="J8" s="1" t="s">
        <v>525</v>
      </c>
      <c r="K8" s="1" t="s">
        <v>537</v>
      </c>
      <c r="L8" s="1" t="s">
        <v>19</v>
      </c>
      <c r="M8" s="1" t="s">
        <v>92</v>
      </c>
    </row>
    <row r="9" spans="1:13" ht="30" x14ac:dyDescent="0.25">
      <c r="A9" s="1" t="s">
        <v>560</v>
      </c>
      <c r="B9" s="1" t="s">
        <v>527</v>
      </c>
      <c r="C9" s="1" t="s">
        <v>530</v>
      </c>
      <c r="D9" s="1" t="s">
        <v>497</v>
      </c>
      <c r="E9" s="4">
        <v>45920</v>
      </c>
      <c r="F9" s="1" t="s">
        <v>18</v>
      </c>
      <c r="G9" s="1" t="s">
        <v>263</v>
      </c>
      <c r="H9" s="1" t="s">
        <v>216</v>
      </c>
      <c r="I9" s="3" t="s">
        <v>327</v>
      </c>
      <c r="J9" s="1" t="s">
        <v>531</v>
      </c>
      <c r="K9" s="1" t="s">
        <v>538</v>
      </c>
      <c r="L9" s="1" t="s">
        <v>19</v>
      </c>
      <c r="M9" s="1" t="s">
        <v>92</v>
      </c>
    </row>
    <row r="10" spans="1:13" ht="30" x14ac:dyDescent="0.25">
      <c r="A10" s="1" t="s">
        <v>526</v>
      </c>
      <c r="B10" s="1" t="s">
        <v>527</v>
      </c>
      <c r="C10" s="1" t="s">
        <v>532</v>
      </c>
      <c r="D10" s="1" t="s">
        <v>497</v>
      </c>
      <c r="E10" s="4">
        <v>45920</v>
      </c>
      <c r="F10" s="1" t="s">
        <v>18</v>
      </c>
      <c r="G10" s="1" t="s">
        <v>263</v>
      </c>
      <c r="H10" s="1" t="s">
        <v>216</v>
      </c>
      <c r="I10" s="3" t="s">
        <v>327</v>
      </c>
      <c r="J10" s="1" t="s">
        <v>533</v>
      </c>
      <c r="K10" s="1" t="s">
        <v>539</v>
      </c>
      <c r="L10" s="1" t="s">
        <v>19</v>
      </c>
      <c r="M10" s="1" t="s">
        <v>92</v>
      </c>
    </row>
    <row r="11" spans="1:13" ht="30" x14ac:dyDescent="0.25">
      <c r="A11" s="1" t="s">
        <v>528</v>
      </c>
      <c r="B11" s="1" t="s">
        <v>527</v>
      </c>
      <c r="C11" s="1" t="s">
        <v>541</v>
      </c>
      <c r="D11" s="1" t="s">
        <v>497</v>
      </c>
      <c r="E11" s="4">
        <v>45920</v>
      </c>
      <c r="F11" s="1" t="s">
        <v>18</v>
      </c>
      <c r="G11" s="1" t="s">
        <v>263</v>
      </c>
      <c r="H11" s="1" t="s">
        <v>216</v>
      </c>
      <c r="I11" s="3" t="s">
        <v>327</v>
      </c>
      <c r="J11" s="1" t="s">
        <v>544</v>
      </c>
      <c r="K11" s="1" t="s">
        <v>540</v>
      </c>
      <c r="L11" s="1" t="s">
        <v>19</v>
      </c>
      <c r="M11" s="1" t="s">
        <v>92</v>
      </c>
    </row>
    <row r="12" spans="1:13" ht="30" x14ac:dyDescent="0.25">
      <c r="A12" s="1" t="s">
        <v>529</v>
      </c>
      <c r="B12" s="1" t="s">
        <v>527</v>
      </c>
      <c r="C12" s="1" t="s">
        <v>543</v>
      </c>
      <c r="D12" s="1" t="s">
        <v>497</v>
      </c>
      <c r="E12" s="4">
        <v>45920</v>
      </c>
      <c r="F12" s="1" t="s">
        <v>18</v>
      </c>
      <c r="G12" s="1" t="s">
        <v>263</v>
      </c>
      <c r="H12" s="1" t="s">
        <v>216</v>
      </c>
      <c r="I12" s="3" t="s">
        <v>327</v>
      </c>
      <c r="J12" s="1" t="s">
        <v>545</v>
      </c>
      <c r="K12" s="1" t="s">
        <v>577</v>
      </c>
      <c r="L12" s="1" t="s">
        <v>19</v>
      </c>
      <c r="M12" s="1" t="s">
        <v>546</v>
      </c>
    </row>
  </sheetData>
  <phoneticPr fontId="2" type="noConversion"/>
  <dataValidations count="1">
    <dataValidation type="list" allowBlank="1" showInputMessage="1" showErrorMessage="1" sqref="L2:L12" xr:uid="{AA853FA7-60DD-4CBA-8A12-60C331BE48EE}">
      <formula1>"Pass, Fail,Invalid"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27"/>
  <sheetViews>
    <sheetView topLeftCell="H1" workbookViewId="0">
      <selection activeCell="L2" sqref="L2"/>
    </sheetView>
  </sheetViews>
  <sheetFormatPr defaultRowHeight="15" x14ac:dyDescent="0.25"/>
  <cols>
    <col min="1" max="1" width="11.5703125" bestFit="1" customWidth="1"/>
    <col min="2" max="2" width="14.28515625" bestFit="1" customWidth="1"/>
    <col min="3" max="3" width="92.7109375" bestFit="1" customWidth="1"/>
    <col min="4" max="4" width="20.7109375" customWidth="1"/>
    <col min="5" max="5" width="14.42578125" bestFit="1" customWidth="1"/>
    <col min="6" max="6" width="13.42578125" bestFit="1" customWidth="1"/>
    <col min="7" max="8" width="42.28515625" bestFit="1" customWidth="1"/>
    <col min="9" max="9" width="20.28515625" customWidth="1"/>
    <col min="10" max="10" width="62.42578125" bestFit="1" customWidth="1"/>
    <col min="11" max="11" width="25.28515625" bestFit="1" customWidth="1"/>
    <col min="12" max="12" width="16.28515625" bestFit="1" customWidth="1"/>
    <col min="13" max="13" width="42.4257812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45" x14ac:dyDescent="0.25">
      <c r="A2" s="1" t="s">
        <v>388</v>
      </c>
      <c r="B2" s="1" t="s">
        <v>389</v>
      </c>
      <c r="C2" s="1" t="s">
        <v>390</v>
      </c>
      <c r="D2" s="1" t="s">
        <v>497</v>
      </c>
      <c r="E2" s="4">
        <v>45919</v>
      </c>
      <c r="F2" s="1" t="s">
        <v>18</v>
      </c>
      <c r="G2" s="1" t="s">
        <v>263</v>
      </c>
      <c r="H2" s="1" t="s">
        <v>391</v>
      </c>
      <c r="I2" s="3" t="s">
        <v>327</v>
      </c>
      <c r="J2" s="1" t="s">
        <v>392</v>
      </c>
      <c r="K2" s="1" t="s">
        <v>393</v>
      </c>
      <c r="L2" s="1" t="s">
        <v>19</v>
      </c>
      <c r="M2" s="1" t="s">
        <v>92</v>
      </c>
    </row>
    <row r="3" spans="1:13" ht="45" x14ac:dyDescent="0.25">
      <c r="A3" s="1" t="s">
        <v>394</v>
      </c>
      <c r="B3" s="1" t="s">
        <v>389</v>
      </c>
      <c r="C3" s="1" t="s">
        <v>395</v>
      </c>
      <c r="D3" s="1" t="s">
        <v>497</v>
      </c>
      <c r="E3" s="4">
        <v>45919</v>
      </c>
      <c r="F3" s="1" t="s">
        <v>18</v>
      </c>
      <c r="G3" s="1" t="s">
        <v>263</v>
      </c>
      <c r="H3" s="1" t="s">
        <v>391</v>
      </c>
      <c r="I3" s="3" t="s">
        <v>327</v>
      </c>
      <c r="J3" s="1" t="s">
        <v>396</v>
      </c>
      <c r="K3" s="1" t="s">
        <v>393</v>
      </c>
      <c r="L3" s="1" t="s">
        <v>19</v>
      </c>
      <c r="M3" s="1" t="s">
        <v>92</v>
      </c>
    </row>
    <row r="4" spans="1:13" ht="45" x14ac:dyDescent="0.25">
      <c r="A4" s="1" t="s">
        <v>397</v>
      </c>
      <c r="B4" s="1" t="s">
        <v>389</v>
      </c>
      <c r="C4" s="10" t="s">
        <v>398</v>
      </c>
      <c r="D4" s="1" t="s">
        <v>497</v>
      </c>
      <c r="E4" s="4">
        <v>45919</v>
      </c>
      <c r="F4" s="1" t="s">
        <v>18</v>
      </c>
      <c r="G4" s="1" t="s">
        <v>263</v>
      </c>
      <c r="H4" s="1" t="s">
        <v>391</v>
      </c>
      <c r="I4" s="3" t="s">
        <v>327</v>
      </c>
      <c r="J4" s="1" t="s">
        <v>399</v>
      </c>
      <c r="K4" s="1" t="s">
        <v>393</v>
      </c>
      <c r="L4" s="1" t="s">
        <v>19</v>
      </c>
      <c r="M4" s="1" t="s">
        <v>508</v>
      </c>
    </row>
    <row r="5" spans="1:13" ht="45" x14ac:dyDescent="0.25">
      <c r="A5" s="1" t="s">
        <v>400</v>
      </c>
      <c r="B5" s="1" t="s">
        <v>389</v>
      </c>
      <c r="C5" s="1" t="s">
        <v>401</v>
      </c>
      <c r="D5" s="1" t="s">
        <v>497</v>
      </c>
      <c r="E5" s="4">
        <v>45919</v>
      </c>
      <c r="F5" s="1" t="s">
        <v>18</v>
      </c>
      <c r="G5" s="1" t="s">
        <v>263</v>
      </c>
      <c r="H5" s="1" t="s">
        <v>391</v>
      </c>
      <c r="I5" s="3" t="s">
        <v>327</v>
      </c>
      <c r="J5" s="1" t="s">
        <v>402</v>
      </c>
      <c r="K5" s="1" t="s">
        <v>393</v>
      </c>
      <c r="L5" s="1" t="s">
        <v>19</v>
      </c>
      <c r="M5" s="1" t="s">
        <v>92</v>
      </c>
    </row>
    <row r="6" spans="1:13" ht="45" x14ac:dyDescent="0.25">
      <c r="A6" s="1" t="s">
        <v>403</v>
      </c>
      <c r="B6" s="1" t="s">
        <v>389</v>
      </c>
      <c r="C6" s="1" t="s">
        <v>404</v>
      </c>
      <c r="D6" s="1" t="s">
        <v>497</v>
      </c>
      <c r="E6" s="4">
        <v>45919</v>
      </c>
      <c r="F6" s="1" t="s">
        <v>18</v>
      </c>
      <c r="G6" s="1" t="s">
        <v>263</v>
      </c>
      <c r="H6" s="1" t="s">
        <v>391</v>
      </c>
      <c r="I6" s="3" t="s">
        <v>327</v>
      </c>
      <c r="J6" s="1" t="s">
        <v>405</v>
      </c>
      <c r="K6" s="1" t="s">
        <v>393</v>
      </c>
      <c r="L6" s="1" t="s">
        <v>19</v>
      </c>
      <c r="M6" s="1" t="s">
        <v>92</v>
      </c>
    </row>
    <row r="7" spans="1:13" ht="45" x14ac:dyDescent="0.25">
      <c r="A7" s="1" t="s">
        <v>406</v>
      </c>
      <c r="B7" s="1" t="s">
        <v>389</v>
      </c>
      <c r="C7" s="1" t="s">
        <v>407</v>
      </c>
      <c r="D7" s="1" t="s">
        <v>497</v>
      </c>
      <c r="E7" s="4">
        <v>45919</v>
      </c>
      <c r="F7" s="1" t="s">
        <v>18</v>
      </c>
      <c r="G7" s="1" t="s">
        <v>263</v>
      </c>
      <c r="H7" s="1" t="s">
        <v>391</v>
      </c>
      <c r="I7" s="3" t="s">
        <v>327</v>
      </c>
      <c r="J7" s="1" t="s">
        <v>408</v>
      </c>
      <c r="K7" s="1" t="s">
        <v>393</v>
      </c>
      <c r="L7" s="1" t="s">
        <v>19</v>
      </c>
      <c r="M7" s="1" t="s">
        <v>92</v>
      </c>
    </row>
    <row r="8" spans="1:13" ht="45" x14ac:dyDescent="0.25">
      <c r="A8" s="1" t="s">
        <v>409</v>
      </c>
      <c r="B8" s="1" t="s">
        <v>389</v>
      </c>
      <c r="C8" s="1" t="s">
        <v>410</v>
      </c>
      <c r="D8" s="1" t="s">
        <v>497</v>
      </c>
      <c r="E8" s="4">
        <v>45919</v>
      </c>
      <c r="F8" s="1" t="s">
        <v>18</v>
      </c>
      <c r="G8" s="1" t="s">
        <v>263</v>
      </c>
      <c r="H8" s="1" t="s">
        <v>391</v>
      </c>
      <c r="I8" s="3" t="s">
        <v>327</v>
      </c>
      <c r="J8" s="1" t="s">
        <v>411</v>
      </c>
      <c r="K8" s="1" t="s">
        <v>393</v>
      </c>
      <c r="L8" s="1" t="s">
        <v>19</v>
      </c>
      <c r="M8" s="1" t="s">
        <v>92</v>
      </c>
    </row>
    <row r="9" spans="1:13" ht="45" x14ac:dyDescent="0.25">
      <c r="A9" s="1" t="s">
        <v>412</v>
      </c>
      <c r="B9" s="1" t="s">
        <v>389</v>
      </c>
      <c r="C9" s="1" t="s">
        <v>413</v>
      </c>
      <c r="D9" s="1" t="s">
        <v>497</v>
      </c>
      <c r="E9" s="4">
        <v>45919</v>
      </c>
      <c r="F9" s="1" t="s">
        <v>18</v>
      </c>
      <c r="G9" s="1" t="s">
        <v>263</v>
      </c>
      <c r="H9" s="1" t="s">
        <v>391</v>
      </c>
      <c r="I9" s="3" t="s">
        <v>327</v>
      </c>
      <c r="J9" s="1" t="s">
        <v>414</v>
      </c>
      <c r="K9" s="1" t="s">
        <v>393</v>
      </c>
      <c r="L9" s="1" t="s">
        <v>19</v>
      </c>
      <c r="M9" s="1" t="s">
        <v>92</v>
      </c>
    </row>
    <row r="10" spans="1:13" ht="45" x14ac:dyDescent="0.25">
      <c r="A10" s="1" t="s">
        <v>415</v>
      </c>
      <c r="B10" s="1" t="s">
        <v>389</v>
      </c>
      <c r="C10" s="1" t="s">
        <v>416</v>
      </c>
      <c r="D10" s="1" t="s">
        <v>497</v>
      </c>
      <c r="E10" s="4">
        <v>45919</v>
      </c>
      <c r="F10" s="1" t="s">
        <v>18</v>
      </c>
      <c r="G10" s="1" t="s">
        <v>263</v>
      </c>
      <c r="H10" s="1" t="s">
        <v>391</v>
      </c>
      <c r="I10" s="3" t="s">
        <v>327</v>
      </c>
      <c r="J10" s="1" t="s">
        <v>417</v>
      </c>
      <c r="K10" s="1" t="s">
        <v>393</v>
      </c>
      <c r="L10" s="1" t="s">
        <v>19</v>
      </c>
      <c r="M10" s="1" t="s">
        <v>92</v>
      </c>
    </row>
    <row r="11" spans="1:13" ht="45" x14ac:dyDescent="0.25">
      <c r="A11" s="1" t="s">
        <v>418</v>
      </c>
      <c r="B11" s="1" t="s">
        <v>389</v>
      </c>
      <c r="C11" s="1" t="s">
        <v>419</v>
      </c>
      <c r="D11" s="1" t="s">
        <v>497</v>
      </c>
      <c r="E11" s="4">
        <v>45919</v>
      </c>
      <c r="F11" s="1" t="s">
        <v>18</v>
      </c>
      <c r="G11" s="1" t="s">
        <v>263</v>
      </c>
      <c r="H11" s="1" t="s">
        <v>391</v>
      </c>
      <c r="I11" s="3" t="s">
        <v>327</v>
      </c>
      <c r="J11" s="1" t="s">
        <v>420</v>
      </c>
      <c r="K11" s="1" t="s">
        <v>393</v>
      </c>
      <c r="L11" s="1" t="s">
        <v>19</v>
      </c>
      <c r="M11" s="1" t="s">
        <v>92</v>
      </c>
    </row>
    <row r="12" spans="1:13" ht="45" x14ac:dyDescent="0.25">
      <c r="A12" s="1" t="s">
        <v>421</v>
      </c>
      <c r="B12" s="1" t="s">
        <v>389</v>
      </c>
      <c r="C12" s="1" t="s">
        <v>422</v>
      </c>
      <c r="D12" s="1" t="s">
        <v>497</v>
      </c>
      <c r="E12" s="4">
        <v>45919</v>
      </c>
      <c r="F12" s="1" t="s">
        <v>18</v>
      </c>
      <c r="G12" s="1" t="s">
        <v>263</v>
      </c>
      <c r="H12" s="1" t="s">
        <v>391</v>
      </c>
      <c r="I12" s="3" t="s">
        <v>327</v>
      </c>
      <c r="J12" s="1" t="s">
        <v>423</v>
      </c>
      <c r="K12" s="1" t="s">
        <v>393</v>
      </c>
      <c r="L12" s="1" t="s">
        <v>19</v>
      </c>
      <c r="M12" s="1" t="s">
        <v>92</v>
      </c>
    </row>
    <row r="13" spans="1:13" ht="45" x14ac:dyDescent="0.25">
      <c r="A13" s="1" t="s">
        <v>424</v>
      </c>
      <c r="B13" s="1" t="s">
        <v>389</v>
      </c>
      <c r="C13" s="1" t="s">
        <v>425</v>
      </c>
      <c r="D13" s="1" t="s">
        <v>497</v>
      </c>
      <c r="E13" s="4">
        <v>45919</v>
      </c>
      <c r="F13" s="1" t="s">
        <v>18</v>
      </c>
      <c r="G13" s="1" t="s">
        <v>263</v>
      </c>
      <c r="H13" s="1" t="s">
        <v>391</v>
      </c>
      <c r="I13" s="3" t="s">
        <v>327</v>
      </c>
      <c r="J13" s="1" t="s">
        <v>426</v>
      </c>
      <c r="K13" s="1" t="s">
        <v>393</v>
      </c>
      <c r="L13" s="1" t="s">
        <v>19</v>
      </c>
      <c r="M13" s="1" t="s">
        <v>92</v>
      </c>
    </row>
    <row r="14" spans="1:13" ht="45" x14ac:dyDescent="0.25">
      <c r="A14" s="1" t="s">
        <v>427</v>
      </c>
      <c r="B14" s="1" t="s">
        <v>389</v>
      </c>
      <c r="C14" s="1" t="s">
        <v>428</v>
      </c>
      <c r="D14" s="1" t="s">
        <v>497</v>
      </c>
      <c r="E14" s="4">
        <v>45919</v>
      </c>
      <c r="F14" s="1" t="s">
        <v>18</v>
      </c>
      <c r="G14" s="1" t="s">
        <v>263</v>
      </c>
      <c r="H14" s="1" t="s">
        <v>391</v>
      </c>
      <c r="I14" s="3" t="s">
        <v>327</v>
      </c>
      <c r="J14" s="1" t="s">
        <v>429</v>
      </c>
      <c r="K14" s="1" t="s">
        <v>393</v>
      </c>
      <c r="L14" s="1" t="s">
        <v>19</v>
      </c>
      <c r="M14" s="1" t="s">
        <v>92</v>
      </c>
    </row>
    <row r="15" spans="1:13" ht="45" x14ac:dyDescent="0.25">
      <c r="A15" s="1" t="s">
        <v>430</v>
      </c>
      <c r="B15" s="1" t="s">
        <v>389</v>
      </c>
      <c r="C15" s="1" t="s">
        <v>431</v>
      </c>
      <c r="D15" s="1" t="s">
        <v>497</v>
      </c>
      <c r="E15" s="4">
        <v>45919</v>
      </c>
      <c r="F15" s="1" t="s">
        <v>18</v>
      </c>
      <c r="G15" s="1" t="s">
        <v>263</v>
      </c>
      <c r="H15" s="1" t="s">
        <v>391</v>
      </c>
      <c r="I15" s="3" t="s">
        <v>327</v>
      </c>
      <c r="J15" s="1" t="s">
        <v>432</v>
      </c>
      <c r="K15" s="1" t="s">
        <v>393</v>
      </c>
      <c r="L15" s="1" t="s">
        <v>19</v>
      </c>
      <c r="M15" s="1" t="s">
        <v>92</v>
      </c>
    </row>
    <row r="16" spans="1:13" ht="45" x14ac:dyDescent="0.25">
      <c r="A16" s="1" t="s">
        <v>433</v>
      </c>
      <c r="B16" s="1" t="s">
        <v>389</v>
      </c>
      <c r="C16" s="1" t="s">
        <v>434</v>
      </c>
      <c r="D16" s="1" t="s">
        <v>497</v>
      </c>
      <c r="E16" s="4">
        <v>45919</v>
      </c>
      <c r="F16" s="1" t="s">
        <v>18</v>
      </c>
      <c r="G16" s="1" t="s">
        <v>263</v>
      </c>
      <c r="H16" s="1" t="s">
        <v>391</v>
      </c>
      <c r="I16" s="3" t="s">
        <v>327</v>
      </c>
      <c r="J16" s="1" t="s">
        <v>435</v>
      </c>
      <c r="K16" s="1" t="s">
        <v>393</v>
      </c>
      <c r="L16" s="1" t="s">
        <v>19</v>
      </c>
      <c r="M16" s="1" t="s">
        <v>92</v>
      </c>
    </row>
    <row r="17" spans="1:13" ht="45" x14ac:dyDescent="0.25">
      <c r="A17" s="1" t="s">
        <v>436</v>
      </c>
      <c r="B17" s="1" t="s">
        <v>389</v>
      </c>
      <c r="C17" s="1" t="s">
        <v>437</v>
      </c>
      <c r="D17" s="1" t="s">
        <v>497</v>
      </c>
      <c r="E17" s="4">
        <v>45919</v>
      </c>
      <c r="F17" s="1" t="s">
        <v>18</v>
      </c>
      <c r="G17" s="1" t="s">
        <v>263</v>
      </c>
      <c r="H17" s="1" t="s">
        <v>391</v>
      </c>
      <c r="I17" s="3" t="s">
        <v>327</v>
      </c>
      <c r="J17" s="1" t="s">
        <v>438</v>
      </c>
      <c r="K17" s="1" t="s">
        <v>393</v>
      </c>
      <c r="L17" s="1" t="s">
        <v>19</v>
      </c>
      <c r="M17" s="1" t="s">
        <v>92</v>
      </c>
    </row>
    <row r="18" spans="1:13" ht="45" x14ac:dyDescent="0.25">
      <c r="A18" s="1" t="s">
        <v>439</v>
      </c>
      <c r="B18" s="1" t="s">
        <v>389</v>
      </c>
      <c r="C18" s="1" t="s">
        <v>440</v>
      </c>
      <c r="D18" s="1" t="s">
        <v>497</v>
      </c>
      <c r="E18" s="4">
        <v>45919</v>
      </c>
      <c r="F18" s="1" t="s">
        <v>18</v>
      </c>
      <c r="G18" s="1" t="s">
        <v>263</v>
      </c>
      <c r="H18" s="1" t="s">
        <v>391</v>
      </c>
      <c r="I18" s="3" t="s">
        <v>327</v>
      </c>
      <c r="J18" s="1" t="s">
        <v>441</v>
      </c>
      <c r="K18" s="1" t="s">
        <v>393</v>
      </c>
      <c r="L18" s="1" t="s">
        <v>19</v>
      </c>
      <c r="M18" s="1" t="s">
        <v>92</v>
      </c>
    </row>
    <row r="19" spans="1:13" ht="45" x14ac:dyDescent="0.25">
      <c r="A19" s="1" t="s">
        <v>442</v>
      </c>
      <c r="B19" s="1" t="s">
        <v>389</v>
      </c>
      <c r="C19" s="1" t="s">
        <v>443</v>
      </c>
      <c r="D19" s="1" t="s">
        <v>497</v>
      </c>
      <c r="E19" s="4">
        <v>45919</v>
      </c>
      <c r="F19" s="1" t="s">
        <v>18</v>
      </c>
      <c r="G19" s="1" t="s">
        <v>263</v>
      </c>
      <c r="H19" s="1" t="s">
        <v>391</v>
      </c>
      <c r="I19" s="3" t="s">
        <v>327</v>
      </c>
      <c r="J19" s="1" t="s">
        <v>444</v>
      </c>
      <c r="K19" s="1" t="s">
        <v>445</v>
      </c>
      <c r="L19" s="1" t="s">
        <v>19</v>
      </c>
      <c r="M19" s="1" t="s">
        <v>92</v>
      </c>
    </row>
    <row r="20" spans="1:13" ht="45" x14ac:dyDescent="0.25">
      <c r="A20" s="1" t="s">
        <v>446</v>
      </c>
      <c r="B20" s="1" t="s">
        <v>389</v>
      </c>
      <c r="C20" s="1" t="s">
        <v>447</v>
      </c>
      <c r="D20" s="1" t="s">
        <v>497</v>
      </c>
      <c r="E20" s="4">
        <v>45919</v>
      </c>
      <c r="F20" s="1" t="s">
        <v>18</v>
      </c>
      <c r="G20" s="1" t="s">
        <v>263</v>
      </c>
      <c r="H20" s="1" t="s">
        <v>391</v>
      </c>
      <c r="I20" s="3" t="s">
        <v>327</v>
      </c>
      <c r="J20" s="1" t="s">
        <v>448</v>
      </c>
      <c r="K20" s="1" t="s">
        <v>445</v>
      </c>
      <c r="L20" s="1" t="s">
        <v>19</v>
      </c>
      <c r="M20" s="1" t="s">
        <v>92</v>
      </c>
    </row>
    <row r="21" spans="1:13" ht="45" x14ac:dyDescent="0.25">
      <c r="A21" s="1" t="s">
        <v>449</v>
      </c>
      <c r="B21" s="1" t="s">
        <v>389</v>
      </c>
      <c r="C21" s="1" t="s">
        <v>450</v>
      </c>
      <c r="D21" s="1" t="s">
        <v>497</v>
      </c>
      <c r="E21" s="4">
        <v>45919</v>
      </c>
      <c r="F21" s="1" t="s">
        <v>18</v>
      </c>
      <c r="G21" s="1" t="s">
        <v>263</v>
      </c>
      <c r="H21" s="1" t="s">
        <v>391</v>
      </c>
      <c r="I21" s="3" t="s">
        <v>327</v>
      </c>
      <c r="J21" s="1" t="s">
        <v>451</v>
      </c>
      <c r="K21" s="1" t="s">
        <v>445</v>
      </c>
      <c r="L21" s="1" t="s">
        <v>19</v>
      </c>
      <c r="M21" s="1" t="s">
        <v>92</v>
      </c>
    </row>
    <row r="22" spans="1:13" ht="45" x14ac:dyDescent="0.25">
      <c r="A22" s="1" t="s">
        <v>452</v>
      </c>
      <c r="B22" s="1" t="s">
        <v>389</v>
      </c>
      <c r="C22" s="1" t="s">
        <v>453</v>
      </c>
      <c r="D22" s="1" t="s">
        <v>497</v>
      </c>
      <c r="E22" s="4">
        <v>45919</v>
      </c>
      <c r="F22" s="1" t="s">
        <v>18</v>
      </c>
      <c r="G22" s="1" t="s">
        <v>263</v>
      </c>
      <c r="H22" s="1" t="s">
        <v>391</v>
      </c>
      <c r="I22" s="3" t="s">
        <v>327</v>
      </c>
      <c r="J22" s="1" t="s">
        <v>454</v>
      </c>
      <c r="K22" s="1" t="s">
        <v>445</v>
      </c>
      <c r="L22" s="1" t="s">
        <v>19</v>
      </c>
      <c r="M22" s="1" t="s">
        <v>92</v>
      </c>
    </row>
    <row r="23" spans="1:13" ht="45" x14ac:dyDescent="0.25">
      <c r="A23" s="1" t="s">
        <v>455</v>
      </c>
      <c r="B23" s="1" t="s">
        <v>389</v>
      </c>
      <c r="C23" s="1" t="s">
        <v>456</v>
      </c>
      <c r="D23" s="1" t="s">
        <v>497</v>
      </c>
      <c r="E23" s="4">
        <v>45919</v>
      </c>
      <c r="F23" s="1" t="s">
        <v>18</v>
      </c>
      <c r="G23" s="1" t="s">
        <v>263</v>
      </c>
      <c r="H23" s="1" t="s">
        <v>391</v>
      </c>
      <c r="I23" s="3" t="s">
        <v>327</v>
      </c>
      <c r="J23" s="1" t="s">
        <v>457</v>
      </c>
      <c r="K23" s="1" t="s">
        <v>445</v>
      </c>
      <c r="L23" s="1" t="s">
        <v>19</v>
      </c>
      <c r="M23" s="1" t="s">
        <v>92</v>
      </c>
    </row>
    <row r="24" spans="1:13" ht="45" x14ac:dyDescent="0.25">
      <c r="A24" s="1" t="s">
        <v>458</v>
      </c>
      <c r="B24" s="1" t="s">
        <v>389</v>
      </c>
      <c r="C24" s="1" t="s">
        <v>576</v>
      </c>
      <c r="D24" s="1" t="s">
        <v>497</v>
      </c>
      <c r="E24" s="4">
        <v>45919</v>
      </c>
      <c r="F24" s="1" t="s">
        <v>18</v>
      </c>
      <c r="G24" s="1" t="s">
        <v>263</v>
      </c>
      <c r="H24" s="1" t="s">
        <v>391</v>
      </c>
      <c r="I24" s="3" t="s">
        <v>327</v>
      </c>
      <c r="J24" s="1" t="s">
        <v>459</v>
      </c>
      <c r="K24" s="1" t="s">
        <v>445</v>
      </c>
      <c r="L24" s="1" t="s">
        <v>19</v>
      </c>
      <c r="M24" s="1" t="s">
        <v>509</v>
      </c>
    </row>
    <row r="25" spans="1:13" ht="45" x14ac:dyDescent="0.25">
      <c r="A25" s="1" t="s">
        <v>460</v>
      </c>
      <c r="B25" s="1" t="s">
        <v>389</v>
      </c>
      <c r="C25" s="1" t="s">
        <v>461</v>
      </c>
      <c r="D25" s="1" t="s">
        <v>497</v>
      </c>
      <c r="E25" s="4">
        <v>45919</v>
      </c>
      <c r="F25" s="1" t="s">
        <v>18</v>
      </c>
      <c r="G25" s="1" t="s">
        <v>263</v>
      </c>
      <c r="H25" s="1" t="s">
        <v>391</v>
      </c>
      <c r="I25" s="3" t="s">
        <v>327</v>
      </c>
      <c r="J25" s="1" t="s">
        <v>462</v>
      </c>
      <c r="K25" s="1" t="s">
        <v>445</v>
      </c>
      <c r="L25" s="1" t="s">
        <v>19</v>
      </c>
      <c r="M25" s="1" t="s">
        <v>92</v>
      </c>
    </row>
    <row r="26" spans="1:13" ht="45" x14ac:dyDescent="0.25">
      <c r="A26" s="1" t="s">
        <v>463</v>
      </c>
      <c r="B26" s="1" t="s">
        <v>389</v>
      </c>
      <c r="C26" s="1" t="s">
        <v>464</v>
      </c>
      <c r="D26" s="1" t="s">
        <v>497</v>
      </c>
      <c r="E26" s="4">
        <v>45919</v>
      </c>
      <c r="F26" s="1" t="s">
        <v>18</v>
      </c>
      <c r="G26" s="1" t="s">
        <v>263</v>
      </c>
      <c r="H26" s="1" t="s">
        <v>391</v>
      </c>
      <c r="I26" s="3" t="s">
        <v>327</v>
      </c>
      <c r="J26" s="1" t="s">
        <v>465</v>
      </c>
      <c r="K26" s="1" t="s">
        <v>445</v>
      </c>
      <c r="L26" s="1" t="s">
        <v>19</v>
      </c>
      <c r="M26" s="1" t="s">
        <v>92</v>
      </c>
    </row>
    <row r="27" spans="1:13" ht="45" x14ac:dyDescent="0.25">
      <c r="A27" s="1" t="s">
        <v>466</v>
      </c>
      <c r="B27" s="1" t="s">
        <v>389</v>
      </c>
      <c r="C27" s="1" t="s">
        <v>510</v>
      </c>
      <c r="D27" s="1" t="s">
        <v>497</v>
      </c>
      <c r="E27" s="4">
        <v>45919</v>
      </c>
      <c r="F27" s="1" t="s">
        <v>18</v>
      </c>
      <c r="G27" s="1" t="s">
        <v>263</v>
      </c>
      <c r="H27" s="1" t="s">
        <v>391</v>
      </c>
      <c r="I27" s="3" t="s">
        <v>327</v>
      </c>
      <c r="J27" s="1" t="s">
        <v>467</v>
      </c>
      <c r="K27" s="1" t="s">
        <v>445</v>
      </c>
      <c r="L27" s="1" t="s">
        <v>19</v>
      </c>
      <c r="M27" s="1" t="s">
        <v>92</v>
      </c>
    </row>
  </sheetData>
  <phoneticPr fontId="2" type="noConversion"/>
  <dataValidations count="1">
    <dataValidation type="list" allowBlank="1" showInputMessage="1" showErrorMessage="1" sqref="L2:L27" xr:uid="{1EE3EDB0-AE55-4625-B2E2-9AA66DD8E2CF}">
      <formula1>"Pass, Fail,Invalid"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84ff187-b137-45c5-a2b1-0bb63e8e6c6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5B3C88D03F184F93461D3BC47C1392" ma:contentTypeVersion="11" ma:contentTypeDescription="Create a new document." ma:contentTypeScope="" ma:versionID="565f94ecfbc76d1c3dcccaa470e9684b">
  <xsd:schema xmlns:xsd="http://www.w3.org/2001/XMLSchema" xmlns:xs="http://www.w3.org/2001/XMLSchema" xmlns:p="http://schemas.microsoft.com/office/2006/metadata/properties" xmlns:ns3="784ff187-b137-45c5-a2b1-0bb63e8e6c65" targetNamespace="http://schemas.microsoft.com/office/2006/metadata/properties" ma:root="true" ma:fieldsID="b91b2d62c8717d9a0d64eb05683f8222" ns3:_="">
    <xsd:import namespace="784ff187-b137-45c5-a2b1-0bb63e8e6c6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4ff187-b137-45c5-a2b1-0bb63e8e6c6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7C9065-1EB8-40E7-8D4F-F1AC2425F93F}">
  <ds:schemaRefs>
    <ds:schemaRef ds:uri="http://schemas.microsoft.com/office/2006/metadata/properties"/>
    <ds:schemaRef ds:uri="http://schemas.microsoft.com/office/infopath/2007/PartnerControls"/>
    <ds:schemaRef ds:uri="784ff187-b137-45c5-a2b1-0bb63e8e6c65"/>
  </ds:schemaRefs>
</ds:datastoreItem>
</file>

<file path=customXml/itemProps2.xml><?xml version="1.0" encoding="utf-8"?>
<ds:datastoreItem xmlns:ds="http://schemas.openxmlformats.org/officeDocument/2006/customXml" ds:itemID="{D169AFC6-4C00-4B8F-BB11-F5E5112D11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4ff187-b137-45c5-a2b1-0bb63e8e6c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B3682E0-EB30-49DB-9955-1C42C519610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Summery</vt:lpstr>
      <vt:lpstr>Login</vt:lpstr>
      <vt:lpstr>DG</vt:lpstr>
      <vt:lpstr>UPS</vt:lpstr>
      <vt:lpstr>Switch</vt:lpstr>
      <vt:lpstr>Radio</vt:lpstr>
      <vt:lpstr>  Configuration Test Case</vt:lpstr>
      <vt:lpstr>DashBoard</vt:lpstr>
      <vt:lpstr>Tabular Report</vt:lpstr>
      <vt:lpstr>LineGraph</vt:lpstr>
      <vt:lpstr>Archive Management</vt:lpstr>
      <vt:lpstr>User Management</vt:lpstr>
      <vt:lpstr>Sub-SystemStatus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Jay Prakash Singh</dc:creator>
  <cp:keywords/>
  <dc:description/>
  <cp:lastModifiedBy>JAY PRAKASH SINGH</cp:lastModifiedBy>
  <cp:revision/>
  <dcterms:created xsi:type="dcterms:W3CDTF">2025-02-20T06:50:58Z</dcterms:created>
  <dcterms:modified xsi:type="dcterms:W3CDTF">2026-01-02T10:02:42Z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0x010100A55B3C88D03F184F93461D3BC47C1392</vt:lpwstr>
  </property>
</Properties>
</file>